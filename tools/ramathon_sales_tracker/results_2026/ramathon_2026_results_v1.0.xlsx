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indings" sheetId="2" state="visible" r:id="rId4"/>
    <sheet name="Leaderboard" sheetId="3" state="visible" r:id="rId5"/>
    <sheet name="Design Ranking" sheetId="4" state="visible" r:id="rId6"/>
    <sheet name="Stock &amp; Lost Sales" sheetId="5" state="visible" r:id="rId7"/>
    <sheet name="Event Totals" sheetId="6" state="visible" r:id="rId8"/>
    <sheet name="Themes" sheetId="7" state="visible" r:id="rId9"/>
    <sheet name="Pairings" sheetId="8" state="visible" r:id="rId10"/>
    <sheet name="Demographics" sheetId="9" state="visible" r:id="rId11"/>
    <sheet name="Timeline" sheetId="10" state="visible" r:id="rId12"/>
    <sheet name="Copters" sheetId="11" state="visible" r:id="rId13"/>
    <sheet name="Baskets" sheetId="12" state="visible" r:id="rId14"/>
    <sheet name="Raw Dat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2" authorId="0">
      <text>
        <r>
          <rPr>
            <sz val="10"/>
            <rFont val="Arial"/>
            <family val="2"/>
          </rPr>
          <t xml:space="preserve">Top-designs text is written by the build script from Raw Data; the counts to its left are live formulas.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Share of the blended score from sales rate. Sam: units sold mean less because we made unequal amounts, so rate gets 70%.</t>
        </r>
      </text>
    </comment>
    <comment ref="B6" authorId="0">
      <text>
        <r>
          <rPr>
            <sz val="10"/>
            <rFont val="Arial"/>
            <family val="2"/>
          </rPr>
          <t xml:space="preserve">3 matches the 3-for-10 deal. Only one sale (8 Dumplings) is affected.</t>
        </r>
      </text>
    </comment>
    <comment ref="C16" authorId="0">
      <text>
        <r>
          <rPr>
            <sz val="10"/>
            <rFont val="Arial"/>
            <family val="2"/>
          </rPr>
          <t xml:space="preserve">Restocked the morning of the event after the Oct 16 count of 8; true starting count unknown (at least 11). Type it here if you find it.</t>
        </r>
      </text>
    </comment>
    <comment ref="D16" authorId="0">
      <text>
        <r>
          <rPr>
            <sz val="10"/>
            <rFont val="Arial"/>
            <family val="2"/>
          </rPr>
          <t xml:space="preserve">First Egg tart sale was 11:07 AM, about 45 min after most designs started selling. If it only reached the table then, set this to 11:00 AM and its rate goes up.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Extra stock on top of this year's demand rate. 20% is a starting guess.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Sam: final count.</t>
        </r>
      </text>
    </comment>
    <comment ref="B5" authorId="0">
      <text>
        <r>
          <rPr>
            <sz val="10"/>
            <rFont val="Arial"/>
            <family val="2"/>
          </rPr>
          <t xml:space="preserve">Sam: helpers got about 5 tickets each for food, so close to 900.</t>
        </r>
      </text>
    </comment>
    <comment ref="B6" authorId="0">
      <text>
        <r>
          <rPr>
            <sz val="10"/>
            <rFont val="Arial"/>
            <family val="2"/>
          </rPr>
          <t xml:space="preserve">Sam: roughly 500, probably a bit more.</t>
        </r>
      </text>
    </comment>
    <comment ref="B7" authorId="0">
      <text>
        <r>
          <rPr>
            <sz val="10"/>
            <rFont val="Arial"/>
            <family val="2"/>
          </rPr>
          <t xml:space="preserve">Upper end of 'a bit more'. Tracked alone is 482; about 36 leftover clickers went in the blowout.</t>
        </r>
      </text>
    </comment>
    <comment ref="B8" authorId="0">
      <text>
        <r>
          <rPr>
            <sz val="10"/>
            <rFont val="Arial"/>
            <family val="2"/>
          </rPr>
          <t xml:space="preserve">Sam: roughly 50 to 60.</t>
        </r>
      </text>
    </comment>
    <comment ref="B10" authorId="0">
      <text>
        <r>
          <rPr>
            <sz val="10"/>
            <rFont val="Arial"/>
            <family val="2"/>
          </rPr>
          <t xml:space="preserve">Sam: 1 ticket per drop.</t>
        </r>
      </text>
    </comment>
    <comment ref="B11" authorId="0">
      <text>
        <r>
          <rPr>
            <sz val="10"/>
            <rFont val="Arial"/>
            <family val="2"/>
          </rPr>
          <t xml:space="preserve">Tracker price.</t>
        </r>
      </text>
    </comment>
    <comment ref="B12" authorId="0">
      <text>
        <r>
          <rPr>
            <sz val="10"/>
            <rFont val="Arial"/>
            <family val="2"/>
          </rPr>
          <t xml:space="preserve">Tracker README: dollars after CCA's 10%.</t>
        </r>
      </text>
    </comment>
    <comment ref="B13" authorId="0">
      <text>
        <r>
          <rPr>
            <sz val="10"/>
            <rFont val="Arial"/>
            <family val="2"/>
          </rPr>
          <t xml:space="preserve">Tracker: cash sales are $1 per ticket.</t>
        </r>
      </text>
    </comment>
    <comment ref="F16" authorId="0">
      <text>
        <r>
          <rPr>
            <sz val="10"/>
            <rFont val="Arial"/>
            <family val="2"/>
          </rPr>
          <t xml:space="preserve">Tracker default goals (status doc).</t>
        </r>
      </text>
    </comment>
    <comment ref="F17" authorId="0">
      <text>
        <r>
          <rPr>
            <sz val="10"/>
            <rFont val="Arial"/>
            <family val="2"/>
          </rPr>
          <t xml:space="preserve">Tracker default goals (status doc).</t>
        </r>
      </text>
    </comment>
    <comment ref="F18" authorId="0">
      <text>
        <r>
          <rPr>
            <sz val="10"/>
            <rFont val="Arial"/>
            <family val="2"/>
          </rPr>
          <t xml:space="preserve">Tracker default goals (status doc).</t>
        </r>
      </text>
    </comment>
    <comment ref="F19" authorId="0">
      <text>
        <r>
          <rPr>
            <sz val="10"/>
            <rFont val="Arial"/>
            <family val="2"/>
          </rPr>
          <t xml:space="preserve">Tracker default goals (status doc).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Sam: roughly 450 after the 10% and after tickets pulled to feed people.</t>
        </r>
      </text>
    </comment>
    <comment ref="B15" authorId="0">
      <text>
        <r>
          <rPr>
            <sz val="10"/>
            <rFont val="Arial"/>
            <family val="2"/>
          </rPr>
          <t xml:space="preserve">Tracker built-in count (Oct 16).</t>
        </r>
      </text>
    </comment>
  </commentList>
</comments>
</file>

<file path=xl/sharedStrings.xml><?xml version="1.0" encoding="utf-8"?>
<sst xmlns="http://schemas.openxmlformats.org/spreadsheetml/2006/main" count="1177" uniqueCount="382">
  <si>
    <t xml:space="preserve">Ram-a-thon 2026 results (Rambots, Team 2204)</t>
  </si>
  <si>
    <t xml:space="preserve">CCA Hayward, Sat Oct 17 2026. Built from the sales laptop's CSV export (Laptop 1, exported 1:51 PM).</t>
  </si>
  <si>
    <t xml:space="preserve">What's tracked</t>
  </si>
  <si>
    <t xml:space="preserve">Every clicker and copter sale rung up on the sales laptop: 69 sales, 10:01 AM to 1:20 PM.</t>
  </si>
  <si>
    <t xml:space="preserve">What's not tracked</t>
  </si>
  <si>
    <t xml:space="preserve">Plinko (bucket not counted), Balloon Battle (laptop not exported), the Prize Table, and the end-of-day blowout sale. Those numbers are estimates and live in blue input cells.</t>
  </si>
  <si>
    <t xml:space="preserve">Blue cells</t>
  </si>
  <si>
    <t xml:space="preserve">Inputs. Change them (a stock count, an estimate, a weight) and every formula updates.</t>
  </si>
  <si>
    <t xml:space="preserve">Leaderboard</t>
  </si>
  <si>
    <t xml:space="preserve">Designs ranked by sales rate, plus the most popular designs with each age and gender group.</t>
  </si>
  <si>
    <t xml:space="preserve">Design Ranking</t>
  </si>
  <si>
    <t xml:space="preserve">The math behind the leaderboard. Sales rate is the main rank because we made unequal amounts of each design. The blended rank (70% rate, 30% units) is there for reference; the weights are inputs.</t>
  </si>
  <si>
    <t xml:space="preserve">Sales rate</t>
  </si>
  <si>
    <t xml:space="preserve">Units sold divided by hours the design was on the table. A sale counts at most 3 of one design toward the rate, so the parent who bought 8 Dumplings doesn't skew it.</t>
  </si>
  <si>
    <t xml:space="preserve">Stock &amp; Lost Sales</t>
  </si>
  <si>
    <t xml:space="preserve">For designs that sold out: rate x hours left after the sellout = units we could have sold with unlimited stock. Also ideal stock for next year.</t>
  </si>
  <si>
    <t xml:space="preserve">Event Totals</t>
  </si>
  <si>
    <t xml:space="preserve">Tracked vs estimated tickets per booth, Plinko inferred as gross minus everything else, goals, and $ after CCA's 10%.</t>
  </si>
  <si>
    <t xml:space="preserve">Themes / Pairings</t>
  </si>
  <si>
    <t xml:space="preserve">Which kinds of clickers sold, and which designs were bought together.</t>
  </si>
  <si>
    <t xml:space="preserve">Demographics</t>
  </si>
  <si>
    <t xml:space="preserve">Who items were for (age and gender tags). About a third of sales are untagged, and Adults are only 4 sales, so treat small groups as hints.</t>
  </si>
  <si>
    <t xml:space="preserve">Findings</t>
  </si>
  <si>
    <t xml:space="preserve">Conclusions, hypotheses, and things to change next year.</t>
  </si>
  <si>
    <t xml:space="preserve">Raw Data</t>
  </si>
  <si>
    <t xml:space="preserve">The 11 export columns that hold data. The battle, prize, and laptop columns were empty or constant; the full export is ramathon_sales_laptop1_2026-10-17.csv in the repo.</t>
  </si>
  <si>
    <t xml:space="preserve">Sources</t>
  </si>
  <si>
    <t xml:space="preserve">Sales CSV (tracker v1.8.5). Starting stock: Sam's Oct 16 counts built into the tracker. Ticket totals, Battle, blowout, helper tickets, Oreo, Egg tart, Plinko price, last year's copters: Sam, Oct 17 chat.</t>
  </si>
  <si>
    <t xml:space="preserve">Version</t>
  </si>
  <si>
    <t xml:space="preserve">ramathon_2026_results_v1.0.xlsx, built 2026-10-17 by build_ramathon_2026_results_v1.0.py</t>
  </si>
  <si>
    <t xml:space="preserve">Conclusions are backed by the tracked data. Hypotheses are guesses worth testing next year.</t>
  </si>
  <si>
    <t xml:space="preserve">Headline numbers</t>
  </si>
  <si>
    <t xml:space="preserve">-</t>
  </si>
  <si>
    <t xml:space="preserve">About 900 tickets gross (830 counted + about 70 given to helpers for food), about $810 after CCA's 10%. Goal was 1,300: we hit about 69%.</t>
  </si>
  <si>
    <t xml:space="preserve">Tracked: 69 sales, 129 clickers and 5 copter kits, 482 tickets.</t>
  </si>
  <si>
    <t xml:space="preserve">Plinko (inferred): about 310 to 350 tickets, so roughly 330 drops at 1 ticket each. That's about 3.3x its 100-ticket goal and the second-biggest booth.</t>
  </si>
  <si>
    <t xml:space="preserve">Best designs (by sales rate: units per hour on the table)</t>
  </si>
  <si>
    <t xml:space="preserve">Rate rank: 1. Dumpling (7.1/hr), 2. Salmon nigiri (6.9/hr), 3. Creeper (5.6/hr), 4. Avocado (4.4/hr), 5. Egg tart (3.3/hr), 5. Chocolate bar (3.3/hr). Egg tart and Chocolate bar tie at 5.</t>
  </si>
  <si>
    <t xml:space="preserve">Dumpling and Salmon nigiri were the real demand leaders: about 7 an hour each while on the table. They also happened to be the two designs we made the most of, which is why they lead on units too.</t>
  </si>
  <si>
    <t xml:space="preserve">Creeper sold out first. All 10 were gone by 11:48 AM with no bulk buys, about 90 minutes before the last sale. Its rate (5.6/hr) says we needed about 19 to last the day (23 with a 20% buffer), not 10.</t>
  </si>
  <si>
    <t xml:space="preserve">Spam musubi only made 6 and sold its last 2 at 1:20 PM. It sold out, but slowly (1.8/hr): it was right-sized, not a hidden hit.</t>
  </si>
  <si>
    <t xml:space="preserve">Slowest: S'mores (0.9/hr) and LEGO brick (0.6/hr).</t>
  </si>
  <si>
    <t xml:space="preserve">The blended rank (70% rate, 30% units) comes out in the same order, so the call doesn't depend on how you weigh it.</t>
  </si>
  <si>
    <t xml:space="preserve">What we ran short on</t>
  </si>
  <si>
    <t xml:space="preserve">Creeper, Dumpling, and Avocado sold out before the end. At their own pace, unlimited stock would have sold about 16 more clickers, about 56 tickets at 3.53 tix each. Creeper alone is 9 of those.</t>
  </si>
  <si>
    <t xml:space="preserve">That's a floor. Clicker pace fell from 43 units/hour to 19 after 12:43 PM, once all three were gone. The crowd was thinning toward the 1:00 PM close too, so we can't pin the whole drop on stock.</t>
  </si>
  <si>
    <t xml:space="preserve">Meanwhile 36 clickers were left for the blowout: Hot dog bun 12, WD-40 7, S'mores 6, Chocolate bar 4, Oreo 4, LEGO 2, Creeper cube 1. We printed about the right number of clickers in the wrong mix.</t>
  </si>
  <si>
    <t xml:space="preserve">Themes and pairings</t>
  </si>
  <si>
    <t xml:space="preserve">Every Asian food design with a known count (Salmon nigiri, Dumpling, Spam musubi) sold out; Egg tart was restocked, so its count is unknown. Minecraft sold 95% of stock. Snacks &amp; treats sold 62% (Avocado carried it). Workshop sold 53%.</t>
  </si>
  <si>
    <t xml:space="preserve">Variety beat sets. Of the 35 sales with 2 or more items, 30 mixed designs and only 5 were several of one design. 23 sales mixed themes.</t>
  </si>
  <si>
    <t xml:space="preserve">The most common theme mix was Asian food + Snacks &amp; treats (12 sales).</t>
  </si>
  <si>
    <t xml:space="preserve">Top pairs: Avocado + Dumpling (4 sales); Creeper + Dumpling, Avocado + Egg tart, Dumpling + Egg tart (3 each).</t>
  </si>
  <si>
    <t xml:space="preserve">The mixers: Salmon nigiri showed up in 12 mixed sales alongside 10 different designs, and Dumpling in 11. They're the anchors kids built a 3-for-10 around.</t>
  </si>
  <si>
    <t xml:space="preserve">Who bought what (counted by customers, so one bulk buyer doesn't skew it)</t>
  </si>
  <si>
    <t xml:space="preserve">Kids were the core: 32 of the 45 age-tagged sales. Teens 9, Adults 4.</t>
  </si>
  <si>
    <t xml:space="preserve">Kids: Dumpling (9); Creeper, Hot dog bun, Salmon nigiri (6 each).</t>
  </si>
  <si>
    <t xml:space="preserve">Teens: Salmon nigiri (6); Creeper infinity cube (2); 7 others (1 each).</t>
  </si>
  <si>
    <t xml:space="preserve">Boys and men: Dumpling (8); Creeper (7); WD-40 (6).</t>
  </si>
  <si>
    <t xml:space="preserve">Girls and women: Salmon nigiri (7); Egg tart (6); Dumpling (5).</t>
  </si>
  <si>
    <t xml:space="preserve">Kid boys: Creeper, Dumpling, Hot dog bun (5 each).</t>
  </si>
  <si>
    <t xml:space="preserve">Kid girls: Dumpling (4); Chocolate bar, Egg tart (3 each).</t>
  </si>
  <si>
    <t xml:space="preserve">Creeper and WD-40 skewed boys (7 of 8 gender-tagged units each). Egg tart skewed girls (7 of 8).</t>
  </si>
  <si>
    <t xml:space="preserve">Teens went for Salmon nigiri: 6 of 9 teen sales included one.</t>
  </si>
  <si>
    <t xml:space="preserve">Every gender-tagged copter buyer was a boy.</t>
  </si>
  <si>
    <t xml:space="preserve">Kid lumps elementary and middle schoolers into one bucket, which hides a lot. Next year: Elementary, Middle, and High school.</t>
  </si>
  <si>
    <t xml:space="preserve">Copters</t>
  </si>
  <si>
    <t xml:space="preserve">5 kits for 27 tickets, against roughly 450 net last year at the same prices. That's down about 95%.</t>
  </si>
  <si>
    <t xml:space="preserve">2 of the 5 kits were toroidal. 88 launchers, 155 propellers, 42 toroidal props, and 100 ripcords carry over. Don't buy more parts.</t>
  </si>
  <si>
    <t xml:space="preserve">Hypotheses to test</t>
  </si>
  <si>
    <t xml:space="preserve">Clickers pulled the same kids and tickets copters used to get: they took 94% of the sales table's tickets. Test: sell copters at their own table or with a flying demo.</t>
  </si>
  <si>
    <t xml:space="preserve">Families from last year already own a copter. Test: ask at the table, or sell replacement props and ripcords to returning kids.</t>
  </si>
  <si>
    <t xml:space="preserve">Egg tart may not have reached the table until about 11:00 AM (first sale 11:07, about 45 minutes after most designs started selling). If so, it sold 11 in about two hours, ranks 4th on rate, and deserves more stock.</t>
  </si>
  <si>
    <t xml:space="preserve">LEGO brick sold twice in two minutes at 10:41 AM, then never again. It may have been buried behind other designs.</t>
  </si>
  <si>
    <t xml:space="preserve">The 3-for-10 deal plus a free Pokémon card seems to pull kids up to 3: more sales stopped at 3 clickers (20) than at 2 (12).</t>
  </si>
  <si>
    <t xml:space="preserve">Next year</t>
  </si>
  <si>
    <t xml:space="preserve">Rebalance the print queue with the Ideal stock column on Stock &amp; Lost Sales (this year's rate x 3.3 hours + 20%): Dumpling 29 (had 24), Salmon nigiri 28 (had 23), Creeper 23 (had 10), Avocado 18 (had 12), Hot dog bun 12 (had 22), S'mores 4 (had 9).</t>
  </si>
  <si>
    <t xml:space="preserve">Get every booth onto the tracker. Plinko and Battle together were about 43% of the money, and we have no data on them.</t>
  </si>
  <si>
    <t xml:space="preserve">Count stock again the morning of, after any restock, and ring the blowout up as its own item so it shows up.</t>
  </si>
  <si>
    <t xml:space="preserve">Swap the Kid / Teen / Adult tags for Elementary / Middle / High school / Adult, and tag every sale (about a third were untagged).</t>
  </si>
  <si>
    <t xml:space="preserve">Ranked by sales rate: clickers sold per hour while the design was on the table. Fair across uneven stock.</t>
  </si>
  <si>
    <t xml:space="preserve">Rate rank</t>
  </si>
  <si>
    <t xml:space="preserve">Design</t>
  </si>
  <si>
    <t xml:space="preserve">Sales rate (units/hr)</t>
  </si>
  <si>
    <t xml:space="preserve">Sold out at</t>
  </si>
  <si>
    <t xml:space="preserve">Sell-through</t>
  </si>
  <si>
    <t xml:space="preserve">Units sold</t>
  </si>
  <si>
    <t xml:space="preserve">Starting stock</t>
  </si>
  <si>
    <t xml:space="preserve">Blended rank (70% rate)</t>
  </si>
  <si>
    <t xml:space="preserve">Notes</t>
  </si>
  <si>
    <t xml:space="preserve">Not ranked: Oreo (probably never put out) and Burger (not in the stock count, 1 sold).</t>
  </si>
  <si>
    <t xml:space="preserve">Most popular with each group</t>
  </si>
  <si>
    <t xml:space="preserve">Group</t>
  </si>
  <si>
    <t xml:space="preserve">Sales</t>
  </si>
  <si>
    <t xml:space="preserve">Clicker units</t>
  </si>
  <si>
    <t xml:space="preserve">Top designs (number of that group's sales that picked it)</t>
  </si>
  <si>
    <t xml:space="preserve">Kids</t>
  </si>
  <si>
    <t xml:space="preserve">Dumpling (9); Creeper, Hot dog bun, Salmon nigiri (6 each)</t>
  </si>
  <si>
    <t xml:space="preserve">Teens</t>
  </si>
  <si>
    <t xml:space="preserve">Salmon nigiri (6); Creeper infinity cube (2); 7 others (1 each)</t>
  </si>
  <si>
    <t xml:space="preserve">Adults</t>
  </si>
  <si>
    <t xml:space="preserve">Salmon nigiri (2); 5 others (1 each)</t>
  </si>
  <si>
    <t xml:space="preserve">Boys and men</t>
  </si>
  <si>
    <t xml:space="preserve">Dumpling (8); Creeper (7); WD-40 (6)</t>
  </si>
  <si>
    <t xml:space="preserve">Girls and women</t>
  </si>
  <si>
    <t xml:space="preserve">Salmon nigiri (7); Egg tart (6); Dumpling (5)</t>
  </si>
  <si>
    <t xml:space="preserve">Kid boys</t>
  </si>
  <si>
    <t xml:space="preserve">Creeper, Dumpling, Hot dog bun (5 each)</t>
  </si>
  <si>
    <t xml:space="preserve">Kid girls</t>
  </si>
  <si>
    <t xml:space="preserve">Dumpling (4); Chocolate bar, Egg tart (3 each)</t>
  </si>
  <si>
    <t xml:space="preserve">Teen boys</t>
  </si>
  <si>
    <t xml:space="preserve">Creeper infinity cube, Salmon nigiri (2 each); Avocado, Creeper (1 each)</t>
  </si>
  <si>
    <t xml:space="preserve">Teen girls</t>
  </si>
  <si>
    <t xml:space="preserve">Salmon nigiri (3); 5 others (1 each)</t>
  </si>
  <si>
    <t xml:space="preserve">Adult men</t>
  </si>
  <si>
    <t xml:space="preserve">Creeper, Dumpling, WD-40 (1 each)</t>
  </si>
  <si>
    <t xml:space="preserve">Adult women</t>
  </si>
  <si>
    <t xml:space="preserve">Salmon nigiri (2); Egg tart, Spam musubi (1 each)</t>
  </si>
  <si>
    <t xml:space="preserve">Untagged sales aren't in any group. Groups under about 5 sales are hints, not findings. Next year, split Kid into Elementary, Middle, and High school.</t>
  </si>
  <si>
    <t xml:space="preserve">Clicker design ranking</t>
  </si>
  <si>
    <t xml:space="preserve">Sorted by sales rate. Blended score = rate weight x (rate / best rate) + volume weight x (units / most units), out of 100.</t>
  </si>
  <si>
    <t xml:space="preserve">Rate weight</t>
  </si>
  <si>
    <t xml:space="preserve">Volume weight</t>
  </si>
  <si>
    <t xml:space="preserve">Max units of one design per sale counted toward rate</t>
  </si>
  <si>
    <t xml:space="preserve">Selling window start</t>
  </si>
  <si>
    <t xml:space="preserve">Selling window end</t>
  </si>
  <si>
    <t xml:space="preserve">Window hours</t>
  </si>
  <si>
    <t xml:space="preserve">Theme</t>
  </si>
  <si>
    <t xml:space="preserve">On table from</t>
  </si>
  <si>
    <t xml:space="preserve">Tickets rung up</t>
  </si>
  <si>
    <t xml:space="preserve">Sold out?</t>
  </si>
  <si>
    <t xml:space="preserve">Hours in stock</t>
  </si>
  <si>
    <t xml:space="preserve">Units counted for rate</t>
  </si>
  <si>
    <t xml:space="preserve">Rate score</t>
  </si>
  <si>
    <t xml:space="preserve">Volume score</t>
  </si>
  <si>
    <t xml:space="preserve">Blended score</t>
  </si>
  <si>
    <t xml:space="preserve">Blended rank</t>
  </si>
  <si>
    <t xml:space="preserve">Units rank</t>
  </si>
  <si>
    <t xml:space="preserve">Dumpling</t>
  </si>
  <si>
    <t xml:space="preserve">Asian food</t>
  </si>
  <si>
    <t xml:space="preserve">One parent bought the last 8 in one sale at 12:42 PM.</t>
  </si>
  <si>
    <t xml:space="preserve">Salmon nigiri</t>
  </si>
  <si>
    <t xml:space="preserve">Last 4 went at 1:20 PM: sold out right at the end.</t>
  </si>
  <si>
    <t xml:space="preserve">Creeper</t>
  </si>
  <si>
    <t xml:space="preserve">Minecraft</t>
  </si>
  <si>
    <t xml:space="preserve">Sold out first (11:48 AM), no bulk buys.</t>
  </si>
  <si>
    <t xml:space="preserve">Avocado</t>
  </si>
  <si>
    <t xml:space="preserve">Snacks &amp; treats</t>
  </si>
  <si>
    <t xml:space="preserve">Last 3 went in one 3-for-10 sale at 12:43 PM.</t>
  </si>
  <si>
    <t xml:space="preserve">Egg tart</t>
  </si>
  <si>
    <t xml:space="preserve">Restocked day-of; sell-through unknown.</t>
  </si>
  <si>
    <t xml:space="preserve">Chocolate bar</t>
  </si>
  <si>
    <t xml:space="preserve">Hot dog bun</t>
  </si>
  <si>
    <t xml:space="preserve">Most units left over (12 of 22).</t>
  </si>
  <si>
    <t xml:space="preserve">WD-40</t>
  </si>
  <si>
    <t xml:space="preserve">Workshop</t>
  </si>
  <si>
    <t xml:space="preserve">Creeper infinity cube</t>
  </si>
  <si>
    <t xml:space="preserve">Spam musubi</t>
  </si>
  <si>
    <t xml:space="preserve">Only 6 made; last 2 went at 1:20 PM.</t>
  </si>
  <si>
    <t xml:space="preserve">S'mores</t>
  </si>
  <si>
    <t xml:space="preserve">LEGO brick</t>
  </si>
  <si>
    <t xml:space="preserve">Both sales at 10:41 to 10:42 AM, then none. Worth checking if it got buried.</t>
  </si>
  <si>
    <t xml:space="preserve">Oreo</t>
  </si>
  <si>
    <t xml:space="preserve">Not ranked: probably never put out on the table (Sam).</t>
  </si>
  <si>
    <t xml:space="preserve">Burger</t>
  </si>
  <si>
    <t xml:space="preserve">Not ranked: not in the stock count, 1 sold.</t>
  </si>
  <si>
    <t xml:space="preserve">What we ran short on, and what it cost</t>
  </si>
  <si>
    <t xml:space="preserve">Lost units = sales rate x hours the design was gone before the last sale of the day. Ideal stock = rate x window x (1 + buffer).</t>
  </si>
  <si>
    <t xml:space="preserve">Buffer for next year's stock</t>
  </si>
  <si>
    <t xml:space="preserve">Avg tickets per clicker (this year)</t>
  </si>
  <si>
    <t xml:space="preserve">Left over</t>
  </si>
  <si>
    <t xml:space="preserve">Hours sold out</t>
  </si>
  <si>
    <t xml:space="preserve">Lost units</t>
  </si>
  <si>
    <t xml:space="preserve">Lost tickets</t>
  </si>
  <si>
    <t xml:space="preserve">Ideal stock next year</t>
  </si>
  <si>
    <t xml:space="preserve">Change vs this year</t>
  </si>
  <si>
    <t xml:space="preserve">Total</t>
  </si>
  <si>
    <t xml:space="preserve">Oreo (not put out)</t>
  </si>
  <si>
    <t xml:space="preserve">Booth pace before and after the big three sold out</t>
  </si>
  <si>
    <t xml:space="preserve">Period</t>
  </si>
  <si>
    <t xml:space="preserve">From</t>
  </si>
  <si>
    <t xml:space="preserve">To</t>
  </si>
  <si>
    <t xml:space="preserve">Units per hour</t>
  </si>
  <si>
    <t xml:space="preserve">Creeper, Dumpling or Avocado still on the table</t>
  </si>
  <si>
    <t xml:space="preserve">All three gone</t>
  </si>
  <si>
    <t xml:space="preserve">Some of the drop is the crowd thinning near the 1:00 PM close, so this shows the size of the slump, not how much of it stock caused.</t>
  </si>
  <si>
    <t xml:space="preserve">Event totals: tracked and estimated</t>
  </si>
  <si>
    <t xml:space="preserve">Blue cells are Sam's estimates from the Oct 17 chat. 1 ticket = $1.</t>
  </si>
  <si>
    <t xml:space="preserve">Tickets counted at the end</t>
  </si>
  <si>
    <t xml:space="preserve">Gross tickets (counted + helper food tickets)</t>
  </si>
  <si>
    <t xml:space="preserve">Clickers + copters, low (incl. blowout)</t>
  </si>
  <si>
    <t xml:space="preserve">Clickers + copters, high</t>
  </si>
  <si>
    <t xml:space="preserve">Balloon Battle, low</t>
  </si>
  <si>
    <t xml:space="preserve">Balloon Battle, high</t>
  </si>
  <si>
    <t xml:space="preserve">Plinko tickets per drop</t>
  </si>
  <si>
    <t xml:space="preserve">Balloon Battle tickets per match (per player)</t>
  </si>
  <si>
    <t xml:space="preserve">CCA's cut</t>
  </si>
  <si>
    <t xml:space="preserve">Dollars per ticket</t>
  </si>
  <si>
    <t xml:space="preserve">Booth</t>
  </si>
  <si>
    <t xml:space="preserve">Tracked tickets</t>
  </si>
  <si>
    <t xml:space="preserve">Estimate low</t>
  </si>
  <si>
    <t xml:space="preserve">Estimate high</t>
  </si>
  <si>
    <t xml:space="preserve">Best estimate</t>
  </si>
  <si>
    <t xml:space="preserve">Goal</t>
  </si>
  <si>
    <t xml:space="preserve">% of goal</t>
  </si>
  <si>
    <t xml:space="preserve">How we got it</t>
  </si>
  <si>
    <t xml:space="preserve">Clickers</t>
  </si>
  <si>
    <t xml:space="preserve">Sam's clickers + copters range minus tracked copters. Includes the untracked blowout.</t>
  </si>
  <si>
    <t xml:space="preserve">All tracked; none in the blowout.</t>
  </si>
  <si>
    <t xml:space="preserve">Balloon Battle</t>
  </si>
  <si>
    <t xml:space="preserve">Sam's estimate; the Battle laptop wasn't exported.</t>
  </si>
  <si>
    <t xml:space="preserve">Plinko</t>
  </si>
  <si>
    <t xml:space="preserve">Inferred: gross minus every other booth. Bucket wasn't counted.</t>
  </si>
  <si>
    <t xml:space="preserve">Best-estimate total equals the gross by construction (Plinko is the remainder).</t>
  </si>
  <si>
    <t xml:space="preserve">Helper food tickets (gross minus counted)</t>
  </si>
  <si>
    <t xml:space="preserve">Gross after CCA's 10% ($)</t>
  </si>
  <si>
    <t xml:space="preserve">Plinko drops (best estimate)</t>
  </si>
  <si>
    <t xml:space="preserve">Balloon Battle player-matches, low</t>
  </si>
  <si>
    <t xml:space="preserve">Balloon Battle player-matches, high</t>
  </si>
  <si>
    <t xml:space="preserve">Free Pokemon cards given with purchases</t>
  </si>
  <si>
    <t xml:space="preserve">Tracked sales</t>
  </si>
  <si>
    <t xml:space="preserve">Average tickets per tracked sale</t>
  </si>
  <si>
    <t xml:space="preserve">Clicker themes</t>
  </si>
  <si>
    <t xml:space="preserve">Theme for each design is set on Design Ranking (column B). Sell-through only counts designs with a known starting count.</t>
  </si>
  <si>
    <t xml:space="preserve">Designs</t>
  </si>
  <si>
    <t xml:space="preserve">Share of clicker units</t>
  </si>
  <si>
    <t xml:space="preserve">Stock (known counts)</t>
  </si>
  <si>
    <t xml:space="preserve">Units (known counts)</t>
  </si>
  <si>
    <t xml:space="preserve">Dumpling, Salmon nigiri, Egg tart, Spam musubi</t>
  </si>
  <si>
    <t xml:space="preserve">Avocado, Chocolate bar, Hot dog bun, S'mores, Oreo, Burger</t>
  </si>
  <si>
    <t xml:space="preserve">Creeper, Creeper infinity cube</t>
  </si>
  <si>
    <t xml:space="preserve">WD-40, LEGO brick</t>
  </si>
  <si>
    <t xml:space="preserve">Oreo is left out of stock and sell-through (not put out). Egg tart and Burger have no known count, so they count in units but not sell-through.</t>
  </si>
  <si>
    <t xml:space="preserve">How themes mixed in one sale</t>
  </si>
  <si>
    <t xml:space="preserve">Sale type</t>
  </si>
  <si>
    <t xml:space="preserve">One design</t>
  </si>
  <si>
    <t xml:space="preserve">Several designs, one theme</t>
  </si>
  <si>
    <t xml:space="preserve">Several designs, mixed themes</t>
  </si>
  <si>
    <t xml:space="preserve">Sales containing both themes (diagonal: sales with that theme)</t>
  </si>
  <si>
    <t xml:space="preserve">Designs bought together</t>
  </si>
  <si>
    <t xml:space="preserve">Each cell counts sales that had both designs. The diagonal counts sales with that design at all.</t>
  </si>
  <si>
    <t xml:space="preserve">Top pairs</t>
  </si>
  <si>
    <t xml:space="preserve">Design A</t>
  </si>
  <si>
    <t xml:space="preserve">Design B</t>
  </si>
  <si>
    <t xml:space="preserve">Sales together</t>
  </si>
  <si>
    <t xml:space="preserve">Pairs that happened once are in the matrix below.</t>
  </si>
  <si>
    <t xml:space="preserve">Pair matrix</t>
  </si>
  <si>
    <t xml:space="preserve">Full kit</t>
  </si>
  <si>
    <t xml:space="preserve">Kit w/ toroidal</t>
  </si>
  <si>
    <t xml:space="preserve">Who bought what (units, by who the item was for)</t>
  </si>
  <si>
    <t xml:space="preserve">Tags are optional on the tracker. Untagged = total minus tagged. Small groups (Adults: 4 sales) are hints, not findings.</t>
  </si>
  <si>
    <t xml:space="preserve">Total units</t>
  </si>
  <si>
    <t xml:space="preserve">Kid</t>
  </si>
  <si>
    <t xml:space="preserve">Teen</t>
  </si>
  <si>
    <t xml:space="preserve">Adult</t>
  </si>
  <si>
    <t xml:space="preserve">Untagged age</t>
  </si>
  <si>
    <t xml:space="preserve">Male</t>
  </si>
  <si>
    <t xml:space="preserve">Female</t>
  </si>
  <si>
    <t xml:space="preserve">Untagged gender</t>
  </si>
  <si>
    <t xml:space="preserve">Boys' share (tagged)</t>
  </si>
  <si>
    <t xml:space="preserve">Theme share of each group's units</t>
  </si>
  <si>
    <t xml:space="preserve">All</t>
  </si>
  <si>
    <t xml:space="preserve">Sales by tag</t>
  </si>
  <si>
    <t xml:space="preserve">Tag</t>
  </si>
  <si>
    <t xml:space="preserve">Share of sales</t>
  </si>
  <si>
    <t xml:space="preserve">Age untagged</t>
  </si>
  <si>
    <t xml:space="preserve">Gender untagged</t>
  </si>
  <si>
    <t xml:space="preserve">Sales by half hour</t>
  </si>
  <si>
    <t xml:space="preserve">By the time each sale was closed. Official hours were 10:30 AM to 1:00 PM; the table sold from 10:01 AM.</t>
  </si>
  <si>
    <t xml:space="preserve">Tickets</t>
  </si>
  <si>
    <t xml:space="preserve">Units</t>
  </si>
  <si>
    <t xml:space="preserve">Checkout speed (sale opened to Done)</t>
  </si>
  <si>
    <t xml:space="preserve">Median seconds</t>
  </si>
  <si>
    <t xml:space="preserve">Fastest seconds</t>
  </si>
  <si>
    <t xml:space="preserve">Ticket totals per sale</t>
  </si>
  <si>
    <t xml:space="preserve">Copters: this year vs last year</t>
  </si>
  <si>
    <t xml:space="preserve">Same prices both years. Last year's number is net of CCA's 10% and food tickets (Sam).</t>
  </si>
  <si>
    <t xml:space="preserve">Last year, net tickets</t>
  </si>
  <si>
    <t xml:space="preserve">This year, tracked tickets</t>
  </si>
  <si>
    <t xml:space="preserve">This year, net of CCA's 10%</t>
  </si>
  <si>
    <t xml:space="preserve">Change</t>
  </si>
  <si>
    <t xml:space="preserve">Copter share of the sales table's tracked tickets</t>
  </si>
  <si>
    <t xml:space="preserve">Kit</t>
  </si>
  <si>
    <t xml:space="preserve">Kits sold</t>
  </si>
  <si>
    <t xml:space="preserve">Part</t>
  </si>
  <si>
    <t xml:space="preserve">Used</t>
  </si>
  <si>
    <t xml:space="preserve">Left for next year</t>
  </si>
  <si>
    <t xml:space="preserve">Launchers</t>
  </si>
  <si>
    <t xml:space="preserve">Propellers</t>
  </si>
  <si>
    <t xml:space="preserve">Toroidal propellers</t>
  </si>
  <si>
    <t xml:space="preserve">Ripcords</t>
  </si>
  <si>
    <t xml:space="preserve">Record</t>
  </si>
  <si>
    <t xml:space="preserve">Opened</t>
  </si>
  <si>
    <t xml:space="preserve">Closed</t>
  </si>
  <si>
    <t xml:space="preserve">Checkout seconds</t>
  </si>
  <si>
    <t xml:space="preserve">Age</t>
  </si>
  <si>
    <t xml:space="preserve">Gender</t>
  </si>
  <si>
    <t xml:space="preserve">Free cards</t>
  </si>
  <si>
    <t xml:space="preserve">Designs in sale</t>
  </si>
  <si>
    <t xml:space="preserve">Themes in sale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</si>
  <si>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</si>
  <si>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</si>
  <si>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</si>
  <si>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</si>
  <si>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</si>
  <si>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</si>
  <si>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</si>
  <si>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</si>
  <si>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</si>
  <si>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</si>
  <si>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</si>
  <si>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</si>
  <si>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</si>
  <si>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</si>
  <si>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</si>
  <si>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</si>
  <si>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</si>
  <si>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</si>
  <si>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</si>
  <si>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</si>
  <si>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</si>
  <si>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</si>
  <si>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</si>
  <si>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</si>
  <si>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</si>
  <si>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</si>
  <si>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</si>
  <si>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</si>
  <si>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</si>
  <si>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</si>
  <si>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</si>
  <si>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</si>
  <si>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</si>
  <si>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</si>
  <si>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</si>
  <si>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</si>
  <si>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</si>
  <si>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</si>
  <si>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</si>
  <si>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</si>
  <si>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</si>
  <si>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</si>
  <si>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</si>
  <si>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</si>
  <si>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</si>
  <si>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</si>
  <si>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</si>
  <si>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</si>
  <si>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</si>
  <si>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</si>
  <si>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</si>
  <si>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</si>
  <si>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</si>
  <si>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</si>
  <si>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</si>
  <si>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</si>
  <si>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</si>
  <si>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</si>
  <si>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</si>
  <si>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</si>
  <si>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</si>
  <si>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</si>
  <si>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</si>
  <si>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</si>
  <si>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</si>
  <si>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</si>
  <si>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</si>
  <si>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</si>
  <si>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</si>
  <si>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record</t>
  </si>
  <si>
    <t xml:space="preserve">opened_at</t>
  </si>
  <si>
    <t xml:space="preserve">closed_at</t>
  </si>
  <si>
    <t xml:space="preserve">category</t>
  </si>
  <si>
    <t xml:space="preserve">item</t>
  </si>
  <si>
    <t xml:space="preserve">qty</t>
  </si>
  <si>
    <t xml:space="preserve">item_tickets</t>
  </si>
  <si>
    <t xml:space="preserve">record_total_tickets</t>
  </si>
  <si>
    <t xml:space="preserve">age</t>
  </si>
  <si>
    <t xml:space="preserve">gender</t>
  </si>
  <si>
    <t xml:space="preserve">bonus_cards</t>
  </si>
  <si>
    <t xml:space="preserve">theme</t>
  </si>
  <si>
    <t xml:space="preserve">qty_for_rate</t>
  </si>
  <si>
    <t xml:space="preserve">Clickers &amp; Fidget Toys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</si>
</sst>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"/>
    <numFmt numFmtId="167" formatCode="h:mm\ AM/PM"/>
    <numFmt numFmtId="168" formatCode="0%"/>
    <numFmt numFmtId="169" formatCode="0.00"/>
    <numFmt numFmtId="170" formatCode="\+0;\-0;0"/>
    <numFmt numFmtId="171" formatCode="\$#,##0"/>
    <numFmt numFmtId="172" formatCode="0;\-0;&quot;&quot;"/>
    <numFmt numFmtId="173" formatCode="yyyy\-mm\-dd\ hh:mm:ss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31F3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A31F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31F36"/>
        <bgColor rgb="FF993366"/>
      </patternFill>
    </fill>
    <fill>
      <patternFill patternType="solid">
        <fgColor rgb="FFFBE9C6"/>
        <bgColor rgb="FFFFF2CC"/>
      </patternFill>
    </fill>
    <fill>
      <patternFill patternType="solid">
        <fgColor rgb="FFFFF2CC"/>
        <bgColor rgb="FFFBE9C6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31F36"/>
      <rgbColor rgb="FFFFF2CC"/>
      <rgbColor rgb="FFF7F7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C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23.8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23.8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23.85" hidden="false" customHeight="false" outlineLevel="0" collapsed="false">
      <c r="A15" s="3" t="s">
        <v>24</v>
      </c>
      <c r="B15" s="4" t="s">
        <v>25</v>
      </c>
    </row>
    <row r="16" customFormat="false" ht="23.85" hidden="false" customHeight="false" outlineLevel="0" collapsed="false">
      <c r="A16" s="3" t="s">
        <v>26</v>
      </c>
      <c r="B16" s="4" t="s">
        <v>27</v>
      </c>
    </row>
    <row r="17" customFormat="false" ht="15" hidden="false" customHeight="false" outlineLevel="0" collapsed="false">
      <c r="A17" s="3" t="s">
        <v>28</v>
      </c>
      <c r="B17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5" t="s">
        <v>31</v>
      </c>
    </row>
    <row r="5" customFormat="false" ht="15" hidden="false" customHeight="false" outlineLevel="0" collapsed="false">
      <c r="A5" s="6" t="s">
        <v>32</v>
      </c>
      <c r="B5" s="4" t="s">
        <v>33</v>
      </c>
    </row>
    <row r="6" customFormat="false" ht="15" hidden="false" customHeight="false" outlineLevel="0" collapsed="false">
      <c r="A6" s="6" t="s">
        <v>32</v>
      </c>
      <c r="B6" s="4" t="s">
        <v>34</v>
      </c>
    </row>
    <row r="7" customFormat="false" ht="15" hidden="false" customHeight="false" outlineLevel="0" collapsed="false">
      <c r="A7" s="6" t="s">
        <v>32</v>
      </c>
      <c r="B7" s="4" t="s">
        <v>35</v>
      </c>
    </row>
    <row r="9" customFormat="false" ht="15" hidden="false" customHeight="false" outlineLevel="0" collapsed="false">
      <c r="A9" s="5" t="s">
        <v>36</v>
      </c>
    </row>
    <row r="10" customFormat="false" ht="23.85" hidden="false" customHeight="false" outlineLevel="0" collapsed="false">
      <c r="A10" s="6" t="s">
        <v>32</v>
      </c>
      <c r="B10" s="4" t="s">
        <v>37</v>
      </c>
    </row>
    <row r="11" customFormat="false" ht="23.85" hidden="false" customHeight="false" outlineLevel="0" collapsed="false">
      <c r="A11" s="6" t="s">
        <v>32</v>
      </c>
      <c r="B11" s="4" t="s">
        <v>38</v>
      </c>
    </row>
    <row r="12" customFormat="false" ht="23.85" hidden="false" customHeight="false" outlineLevel="0" collapsed="false">
      <c r="A12" s="6" t="s">
        <v>32</v>
      </c>
      <c r="B12" s="4" t="s">
        <v>39</v>
      </c>
    </row>
    <row r="13" customFormat="false" ht="15" hidden="false" customHeight="false" outlineLevel="0" collapsed="false">
      <c r="A13" s="6" t="s">
        <v>32</v>
      </c>
      <c r="B13" s="4" t="s">
        <v>40</v>
      </c>
    </row>
    <row r="14" customFormat="false" ht="15" hidden="false" customHeight="false" outlineLevel="0" collapsed="false">
      <c r="A14" s="6" t="s">
        <v>32</v>
      </c>
      <c r="B14" s="4" t="s">
        <v>41</v>
      </c>
    </row>
    <row r="15" customFormat="false" ht="15" hidden="false" customHeight="false" outlineLevel="0" collapsed="false">
      <c r="A15" s="6" t="s">
        <v>32</v>
      </c>
      <c r="B15" s="4" t="s">
        <v>42</v>
      </c>
    </row>
    <row r="17" customFormat="false" ht="15" hidden="false" customHeight="false" outlineLevel="0" collapsed="false">
      <c r="A17" s="5" t="s">
        <v>43</v>
      </c>
    </row>
    <row r="18" customFormat="false" ht="23.85" hidden="false" customHeight="false" outlineLevel="0" collapsed="false">
      <c r="A18" s="6" t="s">
        <v>32</v>
      </c>
      <c r="B18" s="4" t="s">
        <v>44</v>
      </c>
    </row>
    <row r="19" customFormat="false" ht="23.85" hidden="false" customHeight="false" outlineLevel="0" collapsed="false">
      <c r="A19" s="6" t="s">
        <v>32</v>
      </c>
      <c r="B19" s="4" t="s">
        <v>45</v>
      </c>
    </row>
    <row r="20" customFormat="false" ht="23.85" hidden="false" customHeight="false" outlineLevel="0" collapsed="false">
      <c r="A20" s="6" t="s">
        <v>32</v>
      </c>
      <c r="B20" s="4" t="s">
        <v>46</v>
      </c>
    </row>
    <row r="22" customFormat="false" ht="15" hidden="false" customHeight="false" outlineLevel="0" collapsed="false">
      <c r="A22" s="5" t="s">
        <v>47</v>
      </c>
    </row>
    <row r="23" customFormat="false" ht="23.85" hidden="false" customHeight="false" outlineLevel="0" collapsed="false">
      <c r="A23" s="6" t="s">
        <v>32</v>
      </c>
      <c r="B23" s="4" t="s">
        <v>48</v>
      </c>
    </row>
    <row r="24" customFormat="false" ht="15" hidden="false" customHeight="false" outlineLevel="0" collapsed="false">
      <c r="A24" s="6" t="s">
        <v>32</v>
      </c>
      <c r="B24" s="4" t="s">
        <v>49</v>
      </c>
    </row>
    <row r="25" customFormat="false" ht="15" hidden="false" customHeight="false" outlineLevel="0" collapsed="false">
      <c r="A25" s="6" t="s">
        <v>32</v>
      </c>
      <c r="B25" s="4" t="s">
        <v>50</v>
      </c>
    </row>
    <row r="26" customFormat="false" ht="15" hidden="false" customHeight="false" outlineLevel="0" collapsed="false">
      <c r="A26" s="6" t="s">
        <v>32</v>
      </c>
      <c r="B26" s="4" t="s">
        <v>51</v>
      </c>
    </row>
    <row r="27" customFormat="false" ht="15" hidden="false" customHeight="false" outlineLevel="0" collapsed="false">
      <c r="A27" s="6" t="s">
        <v>32</v>
      </c>
      <c r="B27" s="4" t="s">
        <v>52</v>
      </c>
    </row>
    <row r="29" customFormat="false" ht="15" hidden="false" customHeight="false" outlineLevel="0" collapsed="false">
      <c r="A29" s="5" t="s">
        <v>53</v>
      </c>
    </row>
    <row r="30" customFormat="false" ht="15" hidden="false" customHeight="false" outlineLevel="0" collapsed="false">
      <c r="A30" s="6" t="s">
        <v>32</v>
      </c>
      <c r="B30" s="4" t="s">
        <v>54</v>
      </c>
    </row>
    <row r="31" customFormat="false" ht="15" hidden="false" customHeight="false" outlineLevel="0" collapsed="false">
      <c r="A31" s="6" t="s">
        <v>32</v>
      </c>
      <c r="B31" s="4" t="s">
        <v>55</v>
      </c>
    </row>
    <row r="32" customFormat="false" ht="15" hidden="false" customHeight="false" outlineLevel="0" collapsed="false">
      <c r="A32" s="6" t="s">
        <v>32</v>
      </c>
      <c r="B32" s="4" t="s">
        <v>56</v>
      </c>
    </row>
    <row r="33" customFormat="false" ht="15" hidden="false" customHeight="false" outlineLevel="0" collapsed="false">
      <c r="A33" s="6" t="s">
        <v>32</v>
      </c>
      <c r="B33" s="4" t="s">
        <v>57</v>
      </c>
    </row>
    <row r="34" customFormat="false" ht="15" hidden="false" customHeight="false" outlineLevel="0" collapsed="false">
      <c r="A34" s="6" t="s">
        <v>32</v>
      </c>
      <c r="B34" s="4" t="s">
        <v>58</v>
      </c>
    </row>
    <row r="35" customFormat="false" ht="15" hidden="false" customHeight="false" outlineLevel="0" collapsed="false">
      <c r="A35" s="6" t="s">
        <v>32</v>
      </c>
      <c r="B35" s="4" t="s">
        <v>59</v>
      </c>
    </row>
    <row r="36" customFormat="false" ht="15" hidden="false" customHeight="false" outlineLevel="0" collapsed="false">
      <c r="A36" s="6" t="s">
        <v>32</v>
      </c>
      <c r="B36" s="4" t="s">
        <v>60</v>
      </c>
    </row>
    <row r="37" customFormat="false" ht="15" hidden="false" customHeight="false" outlineLevel="0" collapsed="false">
      <c r="A37" s="6" t="s">
        <v>32</v>
      </c>
      <c r="B37" s="4" t="s">
        <v>61</v>
      </c>
    </row>
    <row r="38" customFormat="false" ht="15" hidden="false" customHeight="false" outlineLevel="0" collapsed="false">
      <c r="A38" s="6" t="s">
        <v>32</v>
      </c>
      <c r="B38" s="4" t="s">
        <v>62</v>
      </c>
    </row>
    <row r="39" customFormat="false" ht="15" hidden="false" customHeight="false" outlineLevel="0" collapsed="false">
      <c r="A39" s="6" t="s">
        <v>32</v>
      </c>
      <c r="B39" s="4" t="s">
        <v>63</v>
      </c>
    </row>
    <row r="40" customFormat="false" ht="15" hidden="false" customHeight="false" outlineLevel="0" collapsed="false">
      <c r="A40" s="6" t="s">
        <v>32</v>
      </c>
      <c r="B40" s="4" t="s">
        <v>64</v>
      </c>
    </row>
    <row r="42" customFormat="false" ht="15" hidden="false" customHeight="false" outlineLevel="0" collapsed="false">
      <c r="A42" s="5" t="s">
        <v>65</v>
      </c>
    </row>
    <row r="43" customFormat="false" ht="15" hidden="false" customHeight="false" outlineLevel="0" collapsed="false">
      <c r="A43" s="6" t="s">
        <v>32</v>
      </c>
      <c r="B43" s="4" t="s">
        <v>66</v>
      </c>
    </row>
    <row r="44" customFormat="false" ht="15" hidden="false" customHeight="false" outlineLevel="0" collapsed="false">
      <c r="A44" s="6" t="s">
        <v>32</v>
      </c>
      <c r="B44" s="4" t="s">
        <v>67</v>
      </c>
    </row>
    <row r="46" customFormat="false" ht="15" hidden="false" customHeight="false" outlineLevel="0" collapsed="false">
      <c r="A46" s="5" t="s">
        <v>68</v>
      </c>
    </row>
    <row r="47" customFormat="false" ht="15" hidden="false" customHeight="false" outlineLevel="0" collapsed="false">
      <c r="A47" s="6" t="s">
        <v>32</v>
      </c>
      <c r="B47" s="4" t="s">
        <v>69</v>
      </c>
    </row>
    <row r="48" customFormat="false" ht="15" hidden="false" customHeight="false" outlineLevel="0" collapsed="false">
      <c r="A48" s="6" t="s">
        <v>32</v>
      </c>
      <c r="B48" s="4" t="s">
        <v>70</v>
      </c>
    </row>
    <row r="49" customFormat="false" ht="23.85" hidden="false" customHeight="false" outlineLevel="0" collapsed="false">
      <c r="A49" s="6" t="s">
        <v>32</v>
      </c>
      <c r="B49" s="4" t="s">
        <v>71</v>
      </c>
    </row>
    <row r="50" customFormat="false" ht="15" hidden="false" customHeight="false" outlineLevel="0" collapsed="false">
      <c r="A50" s="6" t="s">
        <v>32</v>
      </c>
      <c r="B50" s="4" t="s">
        <v>72</v>
      </c>
    </row>
    <row r="51" customFormat="false" ht="15" hidden="false" customHeight="false" outlineLevel="0" collapsed="false">
      <c r="A51" s="6" t="s">
        <v>32</v>
      </c>
      <c r="B51" s="4" t="s">
        <v>73</v>
      </c>
    </row>
    <row r="53" customFormat="false" ht="15" hidden="false" customHeight="false" outlineLevel="0" collapsed="false">
      <c r="A53" s="5" t="s">
        <v>74</v>
      </c>
    </row>
    <row r="54" customFormat="false" ht="23.85" hidden="false" customHeight="false" outlineLevel="0" collapsed="false">
      <c r="A54" s="6" t="s">
        <v>32</v>
      </c>
      <c r="B54" s="4" t="s">
        <v>75</v>
      </c>
    </row>
    <row r="55" customFormat="false" ht="15" hidden="false" customHeight="false" outlineLevel="0" collapsed="false">
      <c r="A55" s="6" t="s">
        <v>32</v>
      </c>
      <c r="B55" s="4" t="s">
        <v>76</v>
      </c>
    </row>
    <row r="56" customFormat="false" ht="15" hidden="false" customHeight="false" outlineLevel="0" collapsed="false">
      <c r="A56" s="6" t="s">
        <v>32</v>
      </c>
      <c r="B56" s="4" t="s">
        <v>77</v>
      </c>
    </row>
    <row r="57" customFormat="false" ht="15" hidden="false" customHeight="false" outlineLevel="0" collapsed="false">
      <c r="A57" s="6" t="s">
        <v>32</v>
      </c>
      <c r="B57" s="4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79</v>
      </c>
    </row>
    <row r="4" customFormat="false" ht="31.5" hidden="false" customHeight="true" outlineLevel="0" collapsed="false">
      <c r="A4" s="7" t="s">
        <v>80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  <c r="G4" s="7" t="s">
        <v>86</v>
      </c>
      <c r="H4" s="7" t="s">
        <v>87</v>
      </c>
      <c r="I4" s="7" t="s">
        <v>88</v>
      </c>
    </row>
    <row r="5" customFormat="false" ht="15" hidden="false" customHeight="false" outlineLevel="0" collapsed="false">
      <c r="A5" s="8" t="n">
        <f aca="false">'Design Ranking'!R12</f>
        <v>1</v>
      </c>
      <c r="B5" s="9" t="str">
        <f aca="false">'Design Ranking'!A12</f>
        <v>Dumpling</v>
      </c>
      <c r="C5" s="10" t="n">
        <f aca="false">'Design Ranking'!L12</f>
        <v>7.10649350649351</v>
      </c>
      <c r="D5" s="11" t="n">
        <f aca="false">IF('Design Ranking'!H12="Unknown","Unknown",IF('Design Ranking'!I12="","Didn't",'Design Ranking'!I12))</f>
        <v>46312.5293865741</v>
      </c>
      <c r="E5" s="12" t="n">
        <f aca="false">IF('Design Ranking'!G12="","Unknown",'Design Ranking'!G12)</f>
        <v>1</v>
      </c>
      <c r="F5" s="13" t="n">
        <f aca="false">'Design Ranking'!E12</f>
        <v>24</v>
      </c>
      <c r="G5" s="13" t="n">
        <f aca="false">IF('Design Ranking'!C12="","Restocked",'Design Ranking'!C12)</f>
        <v>24</v>
      </c>
      <c r="H5" s="13" t="n">
        <f aca="false">'Design Ranking'!P12</f>
        <v>1</v>
      </c>
      <c r="I5" s="14" t="str">
        <f aca="false">IF('Design Ranking'!S12="","",'Design Ranking'!S12)</f>
        <v>One parent bought the last 8 in one sale at 12:42 PM.</v>
      </c>
    </row>
    <row r="6" customFormat="false" ht="15" hidden="false" customHeight="false" outlineLevel="0" collapsed="false">
      <c r="A6" s="8" t="n">
        <f aca="false">'Design Ranking'!R13</f>
        <v>2</v>
      </c>
      <c r="B6" s="9" t="str">
        <f aca="false">'Design Ranking'!A13</f>
        <v>Salmon nigiri</v>
      </c>
      <c r="C6" s="10" t="n">
        <f aca="false">'Design Ranking'!L13</f>
        <v>6.9433962264151</v>
      </c>
      <c r="D6" s="11" t="n">
        <f aca="false">IF('Design Ranking'!H13="Unknown","Unknown",IF('Design Ranking'!I13="","Didn't",'Design Ranking'!I13))</f>
        <v>46312.5560069445</v>
      </c>
      <c r="E6" s="12" t="n">
        <f aca="false">IF('Design Ranking'!G13="","Unknown",'Design Ranking'!G13)</f>
        <v>1</v>
      </c>
      <c r="F6" s="13" t="n">
        <f aca="false">'Design Ranking'!E13</f>
        <v>23</v>
      </c>
      <c r="G6" s="13" t="n">
        <f aca="false">IF('Design Ranking'!C13="","Restocked",'Design Ranking'!C13)</f>
        <v>23</v>
      </c>
      <c r="H6" s="13" t="n">
        <f aca="false">'Design Ranking'!P13</f>
        <v>2</v>
      </c>
      <c r="I6" s="14" t="str">
        <f aca="false">IF('Design Ranking'!S13="","",'Design Ranking'!S13)</f>
        <v>Last 4 went at 1:20 PM: sold out right at the end.</v>
      </c>
    </row>
    <row r="7" customFormat="false" ht="15" hidden="false" customHeight="false" outlineLevel="0" collapsed="false">
      <c r="A7" s="8" t="n">
        <f aca="false">'Design Ranking'!R14</f>
        <v>3</v>
      </c>
      <c r="B7" s="9" t="str">
        <f aca="false">'Design Ranking'!A14</f>
        <v>Creeper</v>
      </c>
      <c r="C7" s="10" t="n">
        <f aca="false">'Design Ranking'!L14</f>
        <v>5.63821456538763</v>
      </c>
      <c r="D7" s="11" t="n">
        <f aca="false">IF('Design Ranking'!H14="Unknown","Unknown",IF('Design Ranking'!I14="","Didn't",'Design Ranking'!I14))</f>
        <v>46312.4918865741</v>
      </c>
      <c r="E7" s="12" t="n">
        <f aca="false">IF('Design Ranking'!G14="","Unknown",'Design Ranking'!G14)</f>
        <v>1</v>
      </c>
      <c r="F7" s="13" t="n">
        <f aca="false">'Design Ranking'!E14</f>
        <v>10</v>
      </c>
      <c r="G7" s="13" t="n">
        <f aca="false">IF('Design Ranking'!C14="","Restocked",'Design Ranking'!C14)</f>
        <v>10</v>
      </c>
      <c r="H7" s="13" t="n">
        <f aca="false">'Design Ranking'!P14</f>
        <v>3</v>
      </c>
      <c r="I7" s="14" t="str">
        <f aca="false">IF('Design Ranking'!S14="","",'Design Ranking'!S14)</f>
        <v>Sold out first (11:48 AM), no bulk buys.</v>
      </c>
    </row>
    <row r="8" customFormat="false" ht="15" hidden="false" customHeight="false" outlineLevel="0" collapsed="false">
      <c r="A8" s="8" t="n">
        <f aca="false">'Design Ranking'!R15</f>
        <v>4</v>
      </c>
      <c r="B8" s="9" t="str">
        <f aca="false">'Design Ranking'!A15</f>
        <v>Avocado</v>
      </c>
      <c r="C8" s="10" t="n">
        <f aca="false">'Design Ranking'!L15</f>
        <v>4.44993819530284</v>
      </c>
      <c r="D8" s="11" t="n">
        <f aca="false">IF('Design Ranking'!H15="Unknown","Unknown",IF('Design Ranking'!I15="","Didn't",'Design Ranking'!I15))</f>
        <v>46312.5303472222</v>
      </c>
      <c r="E8" s="12" t="n">
        <f aca="false">IF('Design Ranking'!G15="","Unknown",'Design Ranking'!G15)</f>
        <v>1</v>
      </c>
      <c r="F8" s="13" t="n">
        <f aca="false">'Design Ranking'!E15</f>
        <v>12</v>
      </c>
      <c r="G8" s="13" t="n">
        <f aca="false">IF('Design Ranking'!C15="","Restocked",'Design Ranking'!C15)</f>
        <v>12</v>
      </c>
      <c r="H8" s="13" t="n">
        <f aca="false">'Design Ranking'!P15</f>
        <v>4</v>
      </c>
      <c r="I8" s="14" t="str">
        <f aca="false">IF('Design Ranking'!S15="","",'Design Ranking'!S15)</f>
        <v>Last 3 went in one 3-for-10 sale at 12:43 PM.</v>
      </c>
    </row>
    <row r="9" customFormat="false" ht="15" hidden="false" customHeight="false" outlineLevel="0" collapsed="false">
      <c r="A9" s="8" t="n">
        <f aca="false">'Design Ranking'!R16</f>
        <v>5</v>
      </c>
      <c r="B9" s="9" t="str">
        <f aca="false">'Design Ranking'!A16</f>
        <v>Egg tart</v>
      </c>
      <c r="C9" s="10" t="n">
        <f aca="false">'Design Ranking'!L16</f>
        <v>3.32075471698113</v>
      </c>
      <c r="D9" s="11" t="str">
        <f aca="false">IF('Design Ranking'!H16="Unknown","Unknown",IF('Design Ranking'!I16="","Didn't",'Design Ranking'!I16))</f>
        <v>Unknown</v>
      </c>
      <c r="E9" s="12" t="str">
        <f aca="false">IF('Design Ranking'!G16="","Unknown",'Design Ranking'!G16)</f>
        <v>Unknown</v>
      </c>
      <c r="F9" s="13" t="n">
        <f aca="false">'Design Ranking'!E16</f>
        <v>11</v>
      </c>
      <c r="G9" s="13" t="str">
        <f aca="false">IF('Design Ranking'!C16="","Restocked",'Design Ranking'!C16)</f>
        <v>Restocked</v>
      </c>
      <c r="H9" s="13" t="n">
        <f aca="false">'Design Ranking'!P16</f>
        <v>5</v>
      </c>
      <c r="I9" s="14" t="str">
        <f aca="false">IF('Design Ranking'!S16="","",'Design Ranking'!S16)</f>
        <v>Restocked day-of; sell-through unknown.</v>
      </c>
    </row>
    <row r="10" customFormat="false" ht="15" hidden="false" customHeight="false" outlineLevel="0" collapsed="false">
      <c r="A10" s="8" t="n">
        <f aca="false">'Design Ranking'!R17</f>
        <v>5</v>
      </c>
      <c r="B10" s="9" t="str">
        <f aca="false">'Design Ranking'!A17</f>
        <v>Chocolate bar</v>
      </c>
      <c r="C10" s="10" t="n">
        <f aca="false">'Design Ranking'!L17</f>
        <v>3.32075471698113</v>
      </c>
      <c r="D10" s="11" t="str">
        <f aca="false">IF('Design Ranking'!H17="Unknown","Unknown",IF('Design Ranking'!I17="","Didn't",'Design Ranking'!I17))</f>
        <v>Didn't</v>
      </c>
      <c r="E10" s="12" t="n">
        <f aca="false">IF('Design Ranking'!G17="","Unknown",'Design Ranking'!G17)</f>
        <v>0.733333333333333</v>
      </c>
      <c r="F10" s="13" t="n">
        <f aca="false">'Design Ranking'!E17</f>
        <v>11</v>
      </c>
      <c r="G10" s="13" t="n">
        <f aca="false">IF('Design Ranking'!C17="","Restocked",'Design Ranking'!C17)</f>
        <v>15</v>
      </c>
      <c r="H10" s="13" t="n">
        <f aca="false">'Design Ranking'!P17</f>
        <v>5</v>
      </c>
      <c r="I10" s="14" t="str">
        <f aca="false">IF('Design Ranking'!S17="","",'Design Ranking'!S17)</f>
        <v/>
      </c>
    </row>
    <row r="11" customFormat="false" ht="15" hidden="false" customHeight="false" outlineLevel="0" collapsed="false">
      <c r="A11" s="8" t="n">
        <f aca="false">'Design Ranking'!R18</f>
        <v>7</v>
      </c>
      <c r="B11" s="9" t="str">
        <f aca="false">'Design Ranking'!A18</f>
        <v>Hot dog bun</v>
      </c>
      <c r="C11" s="10" t="n">
        <f aca="false">'Design Ranking'!L18</f>
        <v>3.0188679245283</v>
      </c>
      <c r="D11" s="11" t="str">
        <f aca="false">IF('Design Ranking'!H18="Unknown","Unknown",IF('Design Ranking'!I18="","Didn't",'Design Ranking'!I18))</f>
        <v>Didn't</v>
      </c>
      <c r="E11" s="12" t="n">
        <f aca="false">IF('Design Ranking'!G18="","Unknown",'Design Ranking'!G18)</f>
        <v>0.454545454545455</v>
      </c>
      <c r="F11" s="13" t="n">
        <f aca="false">'Design Ranking'!E18</f>
        <v>10</v>
      </c>
      <c r="G11" s="13" t="n">
        <f aca="false">IF('Design Ranking'!C18="","Restocked",'Design Ranking'!C18)</f>
        <v>22</v>
      </c>
      <c r="H11" s="13" t="n">
        <f aca="false">'Design Ranking'!P18</f>
        <v>7</v>
      </c>
      <c r="I11" s="14" t="str">
        <f aca="false">IF('Design Ranking'!S18="","",'Design Ranking'!S18)</f>
        <v>Most units left over (12 of 22).</v>
      </c>
    </row>
    <row r="12" customFormat="false" ht="15" hidden="false" customHeight="false" outlineLevel="0" collapsed="false">
      <c r="A12" s="8" t="n">
        <f aca="false">'Design Ranking'!R19</f>
        <v>8</v>
      </c>
      <c r="B12" s="9" t="str">
        <f aca="false">'Design Ranking'!A19</f>
        <v>WD-40</v>
      </c>
      <c r="C12" s="10" t="n">
        <f aca="false">'Design Ranking'!L19</f>
        <v>2.41509433962264</v>
      </c>
      <c r="D12" s="11" t="str">
        <f aca="false">IF('Design Ranking'!H19="Unknown","Unknown",IF('Design Ranking'!I19="","Didn't",'Design Ranking'!I19))</f>
        <v>Didn't</v>
      </c>
      <c r="E12" s="12" t="n">
        <f aca="false">IF('Design Ranking'!G19="","Unknown",'Design Ranking'!G19)</f>
        <v>0.533333333333333</v>
      </c>
      <c r="F12" s="13" t="n">
        <f aca="false">'Design Ranking'!E19</f>
        <v>8</v>
      </c>
      <c r="G12" s="13" t="n">
        <f aca="false">IF('Design Ranking'!C19="","Restocked",'Design Ranking'!C19)</f>
        <v>15</v>
      </c>
      <c r="H12" s="13" t="n">
        <f aca="false">'Design Ranking'!P19</f>
        <v>8</v>
      </c>
      <c r="I12" s="14" t="str">
        <f aca="false">IF('Design Ranking'!S19="","",'Design Ranking'!S19)</f>
        <v/>
      </c>
    </row>
    <row r="13" customFormat="false" ht="15" hidden="false" customHeight="false" outlineLevel="0" collapsed="false">
      <c r="A13" s="8" t="n">
        <f aca="false">'Design Ranking'!R20</f>
        <v>8</v>
      </c>
      <c r="B13" s="9" t="str">
        <f aca="false">'Design Ranking'!A20</f>
        <v>Creeper infinity cube</v>
      </c>
      <c r="C13" s="10" t="n">
        <f aca="false">'Design Ranking'!L20</f>
        <v>2.41509433962264</v>
      </c>
      <c r="D13" s="11" t="str">
        <f aca="false">IF('Design Ranking'!H20="Unknown","Unknown",IF('Design Ranking'!I20="","Didn't",'Design Ranking'!I20))</f>
        <v>Didn't</v>
      </c>
      <c r="E13" s="12" t="n">
        <f aca="false">IF('Design Ranking'!G20="","Unknown",'Design Ranking'!G20)</f>
        <v>0.888888888888889</v>
      </c>
      <c r="F13" s="13" t="n">
        <f aca="false">'Design Ranking'!E20</f>
        <v>8</v>
      </c>
      <c r="G13" s="13" t="n">
        <f aca="false">IF('Design Ranking'!C20="","Restocked",'Design Ranking'!C20)</f>
        <v>9</v>
      </c>
      <c r="H13" s="13" t="n">
        <f aca="false">'Design Ranking'!P20</f>
        <v>8</v>
      </c>
      <c r="I13" s="14" t="str">
        <f aca="false">IF('Design Ranking'!S20="","",'Design Ranking'!S20)</f>
        <v/>
      </c>
    </row>
    <row r="14" customFormat="false" ht="15" hidden="false" customHeight="false" outlineLevel="0" collapsed="false">
      <c r="A14" s="8" t="n">
        <f aca="false">'Design Ranking'!R21</f>
        <v>10</v>
      </c>
      <c r="B14" s="9" t="str">
        <f aca="false">'Design Ranking'!A21</f>
        <v>Spam musubi</v>
      </c>
      <c r="C14" s="10" t="n">
        <f aca="false">'Design Ranking'!L21</f>
        <v>1.81132075471698</v>
      </c>
      <c r="D14" s="11" t="n">
        <f aca="false">IF('Design Ranking'!H21="Unknown","Unknown",IF('Design Ranking'!I21="","Didn't",'Design Ranking'!I21))</f>
        <v>46312.5560069445</v>
      </c>
      <c r="E14" s="12" t="n">
        <f aca="false">IF('Design Ranking'!G21="","Unknown",'Design Ranking'!G21)</f>
        <v>1</v>
      </c>
      <c r="F14" s="13" t="n">
        <f aca="false">'Design Ranking'!E21</f>
        <v>6</v>
      </c>
      <c r="G14" s="13" t="n">
        <f aca="false">IF('Design Ranking'!C21="","Restocked",'Design Ranking'!C21)</f>
        <v>6</v>
      </c>
      <c r="H14" s="13" t="n">
        <f aca="false">'Design Ranking'!P21</f>
        <v>10</v>
      </c>
      <c r="I14" s="14" t="str">
        <f aca="false">IF('Design Ranking'!S21="","",'Design Ranking'!S21)</f>
        <v>Only 6 made; last 2 went at 1:20 PM.</v>
      </c>
    </row>
    <row r="15" customFormat="false" ht="15" hidden="false" customHeight="false" outlineLevel="0" collapsed="false">
      <c r="A15" s="8" t="n">
        <f aca="false">'Design Ranking'!R22</f>
        <v>11</v>
      </c>
      <c r="B15" s="9" t="str">
        <f aca="false">'Design Ranking'!A22</f>
        <v>S'mores</v>
      </c>
      <c r="C15" s="10" t="n">
        <f aca="false">'Design Ranking'!L22</f>
        <v>0.905660377358491</v>
      </c>
      <c r="D15" s="11" t="str">
        <f aca="false">IF('Design Ranking'!H22="Unknown","Unknown",IF('Design Ranking'!I22="","Didn't",'Design Ranking'!I22))</f>
        <v>Didn't</v>
      </c>
      <c r="E15" s="12" t="n">
        <f aca="false">IF('Design Ranking'!G22="","Unknown",'Design Ranking'!G22)</f>
        <v>0.333333333333333</v>
      </c>
      <c r="F15" s="13" t="n">
        <f aca="false">'Design Ranking'!E22</f>
        <v>3</v>
      </c>
      <c r="G15" s="13" t="n">
        <f aca="false">IF('Design Ranking'!C22="","Restocked",'Design Ranking'!C22)</f>
        <v>9</v>
      </c>
      <c r="H15" s="13" t="n">
        <f aca="false">'Design Ranking'!P22</f>
        <v>11</v>
      </c>
      <c r="I15" s="14" t="str">
        <f aca="false">IF('Design Ranking'!S22="","",'Design Ranking'!S22)</f>
        <v/>
      </c>
    </row>
    <row r="16" customFormat="false" ht="15" hidden="false" customHeight="false" outlineLevel="0" collapsed="false">
      <c r="A16" s="8" t="n">
        <f aca="false">'Design Ranking'!R23</f>
        <v>12</v>
      </c>
      <c r="B16" s="9" t="str">
        <f aca="false">'Design Ranking'!A23</f>
        <v>LEGO brick</v>
      </c>
      <c r="C16" s="10" t="n">
        <f aca="false">'Design Ranking'!L23</f>
        <v>0.60377358490566</v>
      </c>
      <c r="D16" s="11" t="str">
        <f aca="false">IF('Design Ranking'!H23="Unknown","Unknown",IF('Design Ranking'!I23="","Didn't",'Design Ranking'!I23))</f>
        <v>Didn't</v>
      </c>
      <c r="E16" s="12" t="n">
        <f aca="false">IF('Design Ranking'!G23="","Unknown",'Design Ranking'!G23)</f>
        <v>0.5</v>
      </c>
      <c r="F16" s="13" t="n">
        <f aca="false">'Design Ranking'!E23</f>
        <v>2</v>
      </c>
      <c r="G16" s="13" t="n">
        <f aca="false">IF('Design Ranking'!C23="","Restocked",'Design Ranking'!C23)</f>
        <v>4</v>
      </c>
      <c r="H16" s="13" t="n">
        <f aca="false">'Design Ranking'!P23</f>
        <v>12</v>
      </c>
      <c r="I16" s="14" t="str">
        <f aca="false">IF('Design Ranking'!S23="","",'Design Ranking'!S23)</f>
        <v>Both sales at 10:41 to 10:42 AM, then none. Worth checking if it got buried.</v>
      </c>
    </row>
    <row r="18" customFormat="false" ht="15" hidden="false" customHeight="false" outlineLevel="0" collapsed="false">
      <c r="A18" s="15" t="s">
        <v>89</v>
      </c>
    </row>
    <row r="20" customFormat="false" ht="15" hidden="false" customHeight="false" outlineLevel="0" collapsed="false">
      <c r="A20" s="5" t="s">
        <v>90</v>
      </c>
    </row>
    <row r="21" customFormat="false" ht="15" hidden="false" customHeight="true" outlineLevel="0" collapsed="false">
      <c r="A21" s="7" t="s">
        <v>91</v>
      </c>
      <c r="B21" s="7"/>
      <c r="C21" s="7" t="s">
        <v>92</v>
      </c>
      <c r="D21" s="7" t="s">
        <v>93</v>
      </c>
      <c r="E21" s="7" t="s">
        <v>94</v>
      </c>
      <c r="F21" s="7"/>
      <c r="G21" s="7"/>
      <c r="H21" s="7"/>
      <c r="I21" s="7"/>
    </row>
    <row r="22" customFormat="false" ht="15" hidden="false" customHeight="false" outlineLevel="0" collapsed="false">
      <c r="A22" s="9" t="s">
        <v>95</v>
      </c>
      <c r="B22" s="9"/>
      <c r="C22" s="16" t="n">
        <f aca="false">COUNTIFS(Baskets!$E$2:$E$70,"Kid")</f>
        <v>32</v>
      </c>
      <c r="D22" s="16" t="n">
        <f aca="false">SUMIFS('Raw Data'!$F$2:$F$114,'Raw Data'!$D$2:$D$114,"Clickers &amp; Fidget Toys",'Raw Data'!$I$2:$I$114,"Kid")</f>
        <v>53</v>
      </c>
      <c r="E22" s="17" t="s">
        <v>96</v>
      </c>
      <c r="F22" s="17"/>
      <c r="G22" s="17"/>
      <c r="H22" s="17"/>
      <c r="I22" s="17"/>
    </row>
    <row r="23" customFormat="false" ht="15" hidden="false" customHeight="false" outlineLevel="0" collapsed="false">
      <c r="A23" s="9" t="s">
        <v>97</v>
      </c>
      <c r="B23" s="9"/>
      <c r="C23" s="16" t="n">
        <f aca="false">COUNTIFS(Baskets!$E$2:$E$70,"Teen")</f>
        <v>9</v>
      </c>
      <c r="D23" s="16" t="n">
        <f aca="false">SUMIFS('Raw Data'!$F$2:$F$114,'Raw Data'!$D$2:$D$114,"Clickers &amp; Fidget Toys",'Raw Data'!$I$2:$I$114,"Teen")</f>
        <v>19</v>
      </c>
      <c r="E23" s="17" t="s">
        <v>98</v>
      </c>
      <c r="F23" s="17"/>
      <c r="G23" s="17"/>
      <c r="H23" s="17"/>
      <c r="I23" s="17"/>
    </row>
    <row r="24" customFormat="false" ht="15" hidden="false" customHeight="false" outlineLevel="0" collapsed="false">
      <c r="A24" s="9" t="s">
        <v>99</v>
      </c>
      <c r="B24" s="9"/>
      <c r="C24" s="16" t="n">
        <f aca="false">COUNTIFS(Baskets!$E$2:$E$70,"Adult")</f>
        <v>4</v>
      </c>
      <c r="D24" s="16" t="n">
        <f aca="false">SUMIFS('Raw Data'!$F$2:$F$114,'Raw Data'!$D$2:$D$114,"Clickers &amp; Fidget Toys",'Raw Data'!$I$2:$I$114,"Adult")</f>
        <v>8</v>
      </c>
      <c r="E24" s="17" t="s">
        <v>100</v>
      </c>
      <c r="F24" s="17"/>
      <c r="G24" s="17"/>
      <c r="H24" s="17"/>
      <c r="I24" s="17"/>
    </row>
    <row r="25" customFormat="false" ht="15" hidden="false" customHeight="false" outlineLevel="0" collapsed="false">
      <c r="A25" s="9" t="s">
        <v>101</v>
      </c>
      <c r="B25" s="9"/>
      <c r="C25" s="16" t="n">
        <f aca="false">COUNTIFS(Baskets!$F$2:$F$70,"Male")</f>
        <v>28</v>
      </c>
      <c r="D25" s="16" t="n">
        <f aca="false">SUMIFS('Raw Data'!$F$2:$F$114,'Raw Data'!$D$2:$D$114,"Clickers &amp; Fidget Toys",'Raw Data'!$J$2:$J$114,"Male")</f>
        <v>51</v>
      </c>
      <c r="E25" s="17" t="s">
        <v>102</v>
      </c>
      <c r="F25" s="17"/>
      <c r="G25" s="17"/>
      <c r="H25" s="17"/>
      <c r="I25" s="17"/>
    </row>
    <row r="26" customFormat="false" ht="15" hidden="false" customHeight="false" outlineLevel="0" collapsed="false">
      <c r="A26" s="9" t="s">
        <v>103</v>
      </c>
      <c r="B26" s="9"/>
      <c r="C26" s="16" t="n">
        <f aca="false">COUNTIFS(Baskets!$F$2:$F$70,"Female")</f>
        <v>18</v>
      </c>
      <c r="D26" s="16" t="n">
        <f aca="false">SUMIFS('Raw Data'!$F$2:$F$114,'Raw Data'!$D$2:$D$114,"Clickers &amp; Fidget Toys",'Raw Data'!$J$2:$J$114,"Female")</f>
        <v>36</v>
      </c>
      <c r="E26" s="17" t="s">
        <v>104</v>
      </c>
      <c r="F26" s="17"/>
      <c r="G26" s="17"/>
      <c r="H26" s="17"/>
      <c r="I26" s="17"/>
    </row>
    <row r="27" customFormat="false" ht="15" hidden="false" customHeight="false" outlineLevel="0" collapsed="false">
      <c r="A27" s="9" t="s">
        <v>105</v>
      </c>
      <c r="B27" s="9"/>
      <c r="C27" s="16" t="n">
        <f aca="false">COUNTIFS(Baskets!$E$2:$E$70,"Kid",Baskets!$F$2:$F$70,"Male")</f>
        <v>19</v>
      </c>
      <c r="D27" s="16" t="n">
        <f aca="false">SUMIFS('Raw Data'!$F$2:$F$114,'Raw Data'!$D$2:$D$114,"Clickers &amp; Fidget Toys",'Raw Data'!$I$2:$I$114,"Kid",'Raw Data'!$J$2:$J$114,"Male")</f>
        <v>28</v>
      </c>
      <c r="E27" s="17" t="s">
        <v>106</v>
      </c>
      <c r="F27" s="17"/>
      <c r="G27" s="17"/>
      <c r="H27" s="17"/>
      <c r="I27" s="17"/>
    </row>
    <row r="28" customFormat="false" ht="15" hidden="false" customHeight="false" outlineLevel="0" collapsed="false">
      <c r="A28" s="9" t="s">
        <v>107</v>
      </c>
      <c r="B28" s="9"/>
      <c r="C28" s="16" t="n">
        <f aca="false">COUNTIFS(Baskets!$E$2:$E$70,"Kid",Baskets!$F$2:$F$70,"Female")</f>
        <v>11</v>
      </c>
      <c r="D28" s="16" t="n">
        <f aca="false">SUMIFS('Raw Data'!$F$2:$F$114,'Raw Data'!$D$2:$D$114,"Clickers &amp; Fidget Toys",'Raw Data'!$I$2:$I$114,"Kid",'Raw Data'!$J$2:$J$114,"Female")</f>
        <v>20</v>
      </c>
      <c r="E28" s="17" t="s">
        <v>108</v>
      </c>
      <c r="F28" s="17"/>
      <c r="G28" s="17"/>
      <c r="H28" s="17"/>
      <c r="I28" s="17"/>
    </row>
    <row r="29" customFormat="false" ht="15" hidden="false" customHeight="false" outlineLevel="0" collapsed="false">
      <c r="A29" s="9" t="s">
        <v>109</v>
      </c>
      <c r="B29" s="9"/>
      <c r="C29" s="16" t="n">
        <f aca="false">COUNTIFS(Baskets!$E$2:$E$70,"Teen",Baskets!$F$2:$F$70,"Male")</f>
        <v>4</v>
      </c>
      <c r="D29" s="16" t="n">
        <f aca="false">SUMIFS('Raw Data'!$F$2:$F$114,'Raw Data'!$D$2:$D$114,"Clickers &amp; Fidget Toys",'Raw Data'!$I$2:$I$114,"Teen",'Raw Data'!$J$2:$J$114,"Male")</f>
        <v>7</v>
      </c>
      <c r="E29" s="17" t="s">
        <v>110</v>
      </c>
      <c r="F29" s="17"/>
      <c r="G29" s="17"/>
      <c r="H29" s="17"/>
      <c r="I29" s="17"/>
    </row>
    <row r="30" customFormat="false" ht="15" hidden="false" customHeight="false" outlineLevel="0" collapsed="false">
      <c r="A30" s="9" t="s">
        <v>111</v>
      </c>
      <c r="B30" s="9"/>
      <c r="C30" s="16" t="n">
        <f aca="false">COUNTIFS(Baskets!$E$2:$E$70,"Teen",Baskets!$F$2:$F$70,"Female")</f>
        <v>4</v>
      </c>
      <c r="D30" s="16" t="n">
        <f aca="false">SUMIFS('Raw Data'!$F$2:$F$114,'Raw Data'!$D$2:$D$114,"Clickers &amp; Fidget Toys",'Raw Data'!$I$2:$I$114,"Teen",'Raw Data'!$J$2:$J$114,"Female")</f>
        <v>9</v>
      </c>
      <c r="E30" s="17" t="s">
        <v>112</v>
      </c>
      <c r="F30" s="17"/>
      <c r="G30" s="17"/>
      <c r="H30" s="17"/>
      <c r="I30" s="17"/>
    </row>
    <row r="31" customFormat="false" ht="15" hidden="false" customHeight="false" outlineLevel="0" collapsed="false">
      <c r="A31" s="9" t="s">
        <v>113</v>
      </c>
      <c r="B31" s="9"/>
      <c r="C31" s="16" t="n">
        <f aca="false">COUNTIFS(Baskets!$E$2:$E$70,"Adult",Baskets!$F$2:$F$70,"Male")</f>
        <v>2</v>
      </c>
      <c r="D31" s="16" t="n">
        <f aca="false">SUMIFS('Raw Data'!$F$2:$F$114,'Raw Data'!$D$2:$D$114,"Clickers &amp; Fidget Toys",'Raw Data'!$I$2:$I$114,"Adult",'Raw Data'!$J$2:$J$114,"Male")</f>
        <v>3</v>
      </c>
      <c r="E31" s="17" t="s">
        <v>114</v>
      </c>
      <c r="F31" s="17"/>
      <c r="G31" s="17"/>
      <c r="H31" s="17"/>
      <c r="I31" s="17"/>
    </row>
    <row r="32" customFormat="false" ht="15" hidden="false" customHeight="false" outlineLevel="0" collapsed="false">
      <c r="A32" s="9" t="s">
        <v>115</v>
      </c>
      <c r="B32" s="9"/>
      <c r="C32" s="16" t="n">
        <f aca="false">COUNTIFS(Baskets!$E$2:$E$70,"Adult",Baskets!$F$2:$F$70,"Female")</f>
        <v>2</v>
      </c>
      <c r="D32" s="16" t="n">
        <f aca="false">SUMIFS('Raw Data'!$F$2:$F$114,'Raw Data'!$D$2:$D$114,"Clickers &amp; Fidget Toys",'Raw Data'!$I$2:$I$114,"Adult",'Raw Data'!$J$2:$J$114,"Female")</f>
        <v>5</v>
      </c>
      <c r="E32" s="17" t="s">
        <v>116</v>
      </c>
      <c r="F32" s="17"/>
      <c r="G32" s="17"/>
      <c r="H32" s="17"/>
      <c r="I32" s="17"/>
    </row>
    <row r="34" customFormat="false" ht="15" hidden="false" customHeight="false" outlineLevel="0" collapsed="false">
      <c r="A34" s="15" t="s">
        <v>117</v>
      </c>
    </row>
  </sheetData>
  <mergeCells count="24">
    <mergeCell ref="A21:B21"/>
    <mergeCell ref="E21:I21"/>
    <mergeCell ref="A22:B22"/>
    <mergeCell ref="E22:I22"/>
    <mergeCell ref="A23:B23"/>
    <mergeCell ref="E23:I23"/>
    <mergeCell ref="A24:B24"/>
    <mergeCell ref="E24:I24"/>
    <mergeCell ref="A25:B25"/>
    <mergeCell ref="E25:I25"/>
    <mergeCell ref="A26:B26"/>
    <mergeCell ref="E26:I26"/>
    <mergeCell ref="A27:B27"/>
    <mergeCell ref="E27:I27"/>
    <mergeCell ref="A28:B28"/>
    <mergeCell ref="E28:I28"/>
    <mergeCell ref="A29:B29"/>
    <mergeCell ref="E29:I29"/>
    <mergeCell ref="A30:B30"/>
    <mergeCell ref="E30:I30"/>
    <mergeCell ref="A31:B31"/>
    <mergeCell ref="E31:I31"/>
    <mergeCell ref="A32:B32"/>
    <mergeCell ref="E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4" min="13" style="0" width="8"/>
    <col collapsed="false" customWidth="true" hidden="false" outlineLevel="0" max="16" min="15" style="0" width="9"/>
    <col collapsed="false" customWidth="true" hidden="false" outlineLevel="0" max="18" min="17" style="0" width="8"/>
    <col collapsed="false" customWidth="true" hidden="false" outlineLevel="0" max="19" min="19" style="0" width="60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3" t="s">
        <v>120</v>
      </c>
      <c r="B4" s="18" t="n">
        <v>0.7</v>
      </c>
    </row>
    <row r="5" customFormat="false" ht="15" hidden="false" customHeight="false" outlineLevel="0" collapsed="false">
      <c r="A5" s="3" t="s">
        <v>121</v>
      </c>
      <c r="B5" s="19" t="n">
        <f aca="false">1-B4</f>
        <v>0.3</v>
      </c>
    </row>
    <row r="6" customFormat="false" ht="15" hidden="false" customHeight="false" outlineLevel="0" collapsed="false">
      <c r="A6" s="3" t="s">
        <v>122</v>
      </c>
      <c r="B6" s="20" t="n">
        <v>3</v>
      </c>
    </row>
    <row r="7" customFormat="false" ht="15" hidden="false" customHeight="false" outlineLevel="0" collapsed="false">
      <c r="A7" s="3" t="s">
        <v>123</v>
      </c>
      <c r="B7" s="21" t="n">
        <f aca="false">MIN('Raw Data'!$B$2:$B$114)</f>
        <v>46312.4179861111</v>
      </c>
    </row>
    <row r="8" customFormat="false" ht="15" hidden="false" customHeight="false" outlineLevel="0" collapsed="false">
      <c r="A8" s="3" t="s">
        <v>124</v>
      </c>
      <c r="B8" s="21" t="n">
        <f aca="false">MAX('Raw Data'!$C$2:$C$114)</f>
        <v>46312.5560069445</v>
      </c>
    </row>
    <row r="9" customFormat="false" ht="15" hidden="false" customHeight="false" outlineLevel="0" collapsed="false">
      <c r="A9" s="3" t="s">
        <v>125</v>
      </c>
      <c r="B9" s="22" t="n">
        <f aca="false">(B8-B7)*24</f>
        <v>3.3125</v>
      </c>
    </row>
    <row r="11" customFormat="false" ht="42" hidden="false" customHeight="true" outlineLevel="0" collapsed="false">
      <c r="A11" s="7" t="s">
        <v>81</v>
      </c>
      <c r="B11" s="7" t="s">
        <v>126</v>
      </c>
      <c r="C11" s="7" t="s">
        <v>86</v>
      </c>
      <c r="D11" s="7" t="s">
        <v>127</v>
      </c>
      <c r="E11" s="7" t="s">
        <v>85</v>
      </c>
      <c r="F11" s="7" t="s">
        <v>128</v>
      </c>
      <c r="G11" s="7" t="s">
        <v>84</v>
      </c>
      <c r="H11" s="7" t="s">
        <v>129</v>
      </c>
      <c r="I11" s="7" t="s">
        <v>83</v>
      </c>
      <c r="J11" s="7" t="s">
        <v>130</v>
      </c>
      <c r="K11" s="7" t="s">
        <v>131</v>
      </c>
      <c r="L11" s="7" t="s">
        <v>82</v>
      </c>
      <c r="M11" s="7" t="s">
        <v>132</v>
      </c>
      <c r="N11" s="7" t="s">
        <v>133</v>
      </c>
      <c r="O11" s="7" t="s">
        <v>134</v>
      </c>
      <c r="P11" s="7" t="s">
        <v>135</v>
      </c>
      <c r="Q11" s="7" t="s">
        <v>136</v>
      </c>
      <c r="R11" s="7" t="s">
        <v>80</v>
      </c>
      <c r="S11" s="7" t="s">
        <v>88</v>
      </c>
    </row>
    <row r="12" customFormat="false" ht="15" hidden="false" customHeight="false" outlineLevel="0" collapsed="false">
      <c r="A12" s="9" t="s">
        <v>137</v>
      </c>
      <c r="B12" s="23" t="s">
        <v>138</v>
      </c>
      <c r="C12" s="20" t="n">
        <v>24</v>
      </c>
      <c r="D12" s="24" t="n">
        <f aca="false">$B$7</f>
        <v>46312.4179861111</v>
      </c>
      <c r="E12" s="16" t="n">
        <f aca="false">SUMIFS('Raw Data'!$F$2:$F$114,'Raw Data'!$E$2:$E$114,A12)</f>
        <v>24</v>
      </c>
      <c r="F12" s="16" t="n">
        <f aca="false">SUMIFS('Raw Data'!$G$2:$G$114,'Raw Data'!$E$2:$E$114,A12)</f>
        <v>80</v>
      </c>
      <c r="G12" s="19" t="n">
        <f aca="false">IF(C12="","",E12/C12)</f>
        <v>1</v>
      </c>
      <c r="H12" s="17" t="str">
        <f aca="false">IF(C12="","Unknown",IF(E12&gt;=C12,"Yes","No"))</f>
        <v>Yes</v>
      </c>
      <c r="I12" s="21" t="n">
        <f aca="false">IF(H12="Yes",SUMPRODUCT(MAX(('Raw Data'!$E$2:$E$114=A12)*'Raw Data'!$C$2:$C$114)),"")</f>
        <v>46312.5293865741</v>
      </c>
      <c r="J12" s="22" t="n">
        <f aca="false">IF(H12="Yes",(I12-D12)*24,($B$8-D12)*24)</f>
        <v>2.67361111111111</v>
      </c>
      <c r="K12" s="16" t="n">
        <f aca="false">SUMIFS('Raw Data'!$M$2:$M$114,'Raw Data'!$E$2:$E$114,A12)</f>
        <v>19</v>
      </c>
      <c r="L12" s="25" t="n">
        <f aca="false">IF(J12&gt;0,K12/J12,0)</f>
        <v>7.10649350649351</v>
      </c>
      <c r="M12" s="22" t="n">
        <f aca="false">L12/MAX($L$12:$L$23)</f>
        <v>1</v>
      </c>
      <c r="N12" s="22" t="n">
        <f aca="false">E12/MAX($E$12:$E$23)</f>
        <v>1</v>
      </c>
      <c r="O12" s="16" t="n">
        <f aca="false">100*($B$4*M12+$B$5*N12)</f>
        <v>100</v>
      </c>
      <c r="P12" s="16" t="n">
        <f aca="false">RANK(O12,$O$12:$O$23)</f>
        <v>1</v>
      </c>
      <c r="Q12" s="16" t="n">
        <f aca="false">RANK(E12,$E$12:$E$23)</f>
        <v>1</v>
      </c>
      <c r="R12" s="8" t="n">
        <f aca="false">RANK(L12,$L$12:$L$23)</f>
        <v>1</v>
      </c>
      <c r="S12" s="17" t="s">
        <v>139</v>
      </c>
    </row>
    <row r="13" customFormat="false" ht="15" hidden="false" customHeight="false" outlineLevel="0" collapsed="false">
      <c r="A13" s="9" t="s">
        <v>140</v>
      </c>
      <c r="B13" s="23" t="s">
        <v>138</v>
      </c>
      <c r="C13" s="20" t="n">
        <v>23</v>
      </c>
      <c r="D13" s="24" t="n">
        <f aca="false">$B$7</f>
        <v>46312.4179861111</v>
      </c>
      <c r="E13" s="16" t="n">
        <f aca="false">SUMIFS('Raw Data'!$F$2:$F$114,'Raw Data'!$E$2:$E$114,A13)</f>
        <v>23</v>
      </c>
      <c r="F13" s="16" t="n">
        <f aca="false">SUMIFS('Raw Data'!$G$2:$G$114,'Raw Data'!$E$2:$E$114,A13)</f>
        <v>77</v>
      </c>
      <c r="G13" s="19" t="n">
        <f aca="false">IF(C13="","",E13/C13)</f>
        <v>1</v>
      </c>
      <c r="H13" s="17" t="str">
        <f aca="false">IF(C13="","Unknown",IF(E13&gt;=C13,"Yes","No"))</f>
        <v>Yes</v>
      </c>
      <c r="I13" s="21" t="n">
        <f aca="false">IF(H13="Yes",SUMPRODUCT(MAX(('Raw Data'!$E$2:$E$114=A13)*'Raw Data'!$C$2:$C$114)),"")</f>
        <v>46312.5560069445</v>
      </c>
      <c r="J13" s="22" t="n">
        <f aca="false">IF(H13="Yes",(I13-D13)*24,($B$8-D13)*24)</f>
        <v>3.3125</v>
      </c>
      <c r="K13" s="16" t="n">
        <f aca="false">SUMIFS('Raw Data'!$M$2:$M$114,'Raw Data'!$E$2:$E$114,A13)</f>
        <v>23</v>
      </c>
      <c r="L13" s="25" t="n">
        <f aca="false">IF(J13&gt;0,K13/J13,0)</f>
        <v>6.9433962264151</v>
      </c>
      <c r="M13" s="22" t="n">
        <f aca="false">L13/MAX($L$12:$L$23)</f>
        <v>0.977049542094229</v>
      </c>
      <c r="N13" s="22" t="n">
        <f aca="false">E13/MAX($E$12:$E$23)</f>
        <v>0.958333333333333</v>
      </c>
      <c r="O13" s="16" t="n">
        <f aca="false">100*($B$4*M13+$B$5*N13)</f>
        <v>97.1434679465961</v>
      </c>
      <c r="P13" s="16" t="n">
        <f aca="false">RANK(O13,$O$12:$O$23)</f>
        <v>2</v>
      </c>
      <c r="Q13" s="16" t="n">
        <f aca="false">RANK(E13,$E$12:$E$23)</f>
        <v>2</v>
      </c>
      <c r="R13" s="8" t="n">
        <f aca="false">RANK(L13,$L$12:$L$23)</f>
        <v>2</v>
      </c>
      <c r="S13" s="17" t="s">
        <v>141</v>
      </c>
    </row>
    <row r="14" customFormat="false" ht="15" hidden="false" customHeight="false" outlineLevel="0" collapsed="false">
      <c r="A14" s="9" t="s">
        <v>142</v>
      </c>
      <c r="B14" s="23" t="s">
        <v>143</v>
      </c>
      <c r="C14" s="20" t="n">
        <v>10</v>
      </c>
      <c r="D14" s="24" t="n">
        <f aca="false">$B$7</f>
        <v>46312.4179861111</v>
      </c>
      <c r="E14" s="16" t="n">
        <f aca="false">SUMIFS('Raw Data'!$F$2:$F$114,'Raw Data'!$E$2:$E$114,A14)</f>
        <v>10</v>
      </c>
      <c r="F14" s="16" t="n">
        <f aca="false">SUMIFS('Raw Data'!$G$2:$G$114,'Raw Data'!$E$2:$E$114,A14)</f>
        <v>37</v>
      </c>
      <c r="G14" s="19" t="n">
        <f aca="false">IF(C14="","",E14/C14)</f>
        <v>1</v>
      </c>
      <c r="H14" s="17" t="str">
        <f aca="false">IF(C14="","Unknown",IF(E14&gt;=C14,"Yes","No"))</f>
        <v>Yes</v>
      </c>
      <c r="I14" s="21" t="n">
        <f aca="false">IF(H14="Yes",SUMPRODUCT(MAX(('Raw Data'!$E$2:$E$114=A14)*'Raw Data'!$C$2:$C$114)),"")</f>
        <v>46312.4918865741</v>
      </c>
      <c r="J14" s="22" t="n">
        <f aca="false">IF(H14="Yes",(I14-D14)*24,($B$8-D14)*24)</f>
        <v>1.77361111111111</v>
      </c>
      <c r="K14" s="16" t="n">
        <f aca="false">SUMIFS('Raw Data'!$M$2:$M$114,'Raw Data'!$E$2:$E$114,A14)</f>
        <v>10</v>
      </c>
      <c r="L14" s="25" t="n">
        <f aca="false">IF(J14&gt;0,K14/J14,0)</f>
        <v>5.63821456538763</v>
      </c>
      <c r="M14" s="22" t="n">
        <f aca="false">L14/MAX($L$12:$L$23)</f>
        <v>0.793389110992046</v>
      </c>
      <c r="N14" s="22" t="n">
        <f aca="false">E14/MAX($E$12:$E$23)</f>
        <v>0.416666666666667</v>
      </c>
      <c r="O14" s="16" t="n">
        <f aca="false">100*($B$4*M14+$B$5*N14)</f>
        <v>68.0372377694432</v>
      </c>
      <c r="P14" s="16" t="n">
        <f aca="false">RANK(O14,$O$12:$O$23)</f>
        <v>3</v>
      </c>
      <c r="Q14" s="16" t="n">
        <f aca="false">RANK(E14,$E$12:$E$23)</f>
        <v>6</v>
      </c>
      <c r="R14" s="8" t="n">
        <f aca="false">RANK(L14,$L$12:$L$23)</f>
        <v>3</v>
      </c>
      <c r="S14" s="17" t="s">
        <v>144</v>
      </c>
    </row>
    <row r="15" customFormat="false" ht="15" hidden="false" customHeight="false" outlineLevel="0" collapsed="false">
      <c r="A15" s="9" t="s">
        <v>145</v>
      </c>
      <c r="B15" s="23" t="s">
        <v>146</v>
      </c>
      <c r="C15" s="20" t="n">
        <v>12</v>
      </c>
      <c r="D15" s="24" t="n">
        <f aca="false">$B$7</f>
        <v>46312.4179861111</v>
      </c>
      <c r="E15" s="16" t="n">
        <f aca="false">SUMIFS('Raw Data'!$F$2:$F$114,'Raw Data'!$E$2:$E$114,A15)</f>
        <v>12</v>
      </c>
      <c r="F15" s="16" t="n">
        <f aca="false">SUMIFS('Raw Data'!$G$2:$G$114,'Raw Data'!$E$2:$E$114,A15)</f>
        <v>42</v>
      </c>
      <c r="G15" s="19" t="n">
        <f aca="false">IF(C15="","",E15/C15)</f>
        <v>1</v>
      </c>
      <c r="H15" s="17" t="str">
        <f aca="false">IF(C15="","Unknown",IF(E15&gt;=C15,"Yes","No"))</f>
        <v>Yes</v>
      </c>
      <c r="I15" s="21" t="n">
        <f aca="false">IF(H15="Yes",SUMPRODUCT(MAX(('Raw Data'!$E$2:$E$114=A15)*'Raw Data'!$C$2:$C$114)),"")</f>
        <v>46312.5303472222</v>
      </c>
      <c r="J15" s="22" t="n">
        <f aca="false">IF(H15="Yes",(I15-D15)*24,($B$8-D15)*24)</f>
        <v>2.69666666666667</v>
      </c>
      <c r="K15" s="16" t="n">
        <f aca="false">SUMIFS('Raw Data'!$M$2:$M$114,'Raw Data'!$E$2:$E$114,A15)</f>
        <v>12</v>
      </c>
      <c r="L15" s="25" t="n">
        <f aca="false">IF(J15&gt;0,K15/J15,0)</f>
        <v>4.44993819530284</v>
      </c>
      <c r="M15" s="22" t="n">
        <f aca="false">L15/MAX($L$12:$L$23)</f>
        <v>0.626179168564179</v>
      </c>
      <c r="N15" s="22" t="n">
        <f aca="false">E15/MAX($E$12:$E$23)</f>
        <v>0.5</v>
      </c>
      <c r="O15" s="16" t="n">
        <f aca="false">100*($B$4*M15+$B$5*N15)</f>
        <v>58.8325417994926</v>
      </c>
      <c r="P15" s="16" t="n">
        <f aca="false">RANK(O15,$O$12:$O$23)</f>
        <v>4</v>
      </c>
      <c r="Q15" s="16" t="n">
        <f aca="false">RANK(E15,$E$12:$E$23)</f>
        <v>3</v>
      </c>
      <c r="R15" s="8" t="n">
        <f aca="false">RANK(L15,$L$12:$L$23)</f>
        <v>4</v>
      </c>
      <c r="S15" s="17" t="s">
        <v>147</v>
      </c>
    </row>
    <row r="16" customFormat="false" ht="15" hidden="false" customHeight="false" outlineLevel="0" collapsed="false">
      <c r="A16" s="9" t="s">
        <v>148</v>
      </c>
      <c r="B16" s="23" t="s">
        <v>138</v>
      </c>
      <c r="C16" s="20"/>
      <c r="D16" s="24" t="n">
        <f aca="false">$B$7</f>
        <v>46312.4179861111</v>
      </c>
      <c r="E16" s="16" t="n">
        <f aca="false">SUMIFS('Raw Data'!$F$2:$F$114,'Raw Data'!$E$2:$E$114,A16)</f>
        <v>11</v>
      </c>
      <c r="F16" s="16" t="n">
        <f aca="false">SUMIFS('Raw Data'!$G$2:$G$114,'Raw Data'!$E$2:$E$114,A16)</f>
        <v>40</v>
      </c>
      <c r="G16" s="19" t="str">
        <f aca="false">IF(C16="","",E16/C16)</f>
        <v/>
      </c>
      <c r="H16" s="17" t="str">
        <f aca="false">IF(C16="","Unknown",IF(E16&gt;=C16,"Yes","No"))</f>
        <v>Unknown</v>
      </c>
      <c r="I16" s="21" t="str">
        <f aca="false">IF(H16="Yes",SUMPRODUCT(MAX(('Raw Data'!$E$2:$E$114=A16)*'Raw Data'!$C$2:$C$114)),"")</f>
        <v/>
      </c>
      <c r="J16" s="22" t="n">
        <f aca="false">IF(H16="Yes",(I16-D16)*24,($B$8-D16)*24)</f>
        <v>3.3125</v>
      </c>
      <c r="K16" s="16" t="n">
        <f aca="false">SUMIFS('Raw Data'!$M$2:$M$114,'Raw Data'!$E$2:$E$114,A16)</f>
        <v>11</v>
      </c>
      <c r="L16" s="25" t="n">
        <f aca="false">IF(J16&gt;0,K16/J16,0)</f>
        <v>3.32075471698113</v>
      </c>
      <c r="M16" s="22" t="n">
        <f aca="false">L16/MAX($L$12:$L$23)</f>
        <v>0.467284563610284</v>
      </c>
      <c r="N16" s="22" t="n">
        <f aca="false">E16/MAX($E$12:$E$23)</f>
        <v>0.458333333333333</v>
      </c>
      <c r="O16" s="16" t="n">
        <f aca="false">100*($B$4*M16+$B$5*N16)</f>
        <v>46.4599194527199</v>
      </c>
      <c r="P16" s="16" t="n">
        <f aca="false">RANK(O16,$O$12:$O$23)</f>
        <v>5</v>
      </c>
      <c r="Q16" s="16" t="n">
        <f aca="false">RANK(E16,$E$12:$E$23)</f>
        <v>4</v>
      </c>
      <c r="R16" s="8" t="n">
        <f aca="false">RANK(L16,$L$12:$L$23)</f>
        <v>5</v>
      </c>
      <c r="S16" s="17" t="s">
        <v>149</v>
      </c>
    </row>
    <row r="17" customFormat="false" ht="15" hidden="false" customHeight="false" outlineLevel="0" collapsed="false">
      <c r="A17" s="9" t="s">
        <v>150</v>
      </c>
      <c r="B17" s="23" t="s">
        <v>146</v>
      </c>
      <c r="C17" s="20" t="n">
        <v>15</v>
      </c>
      <c r="D17" s="24" t="n">
        <f aca="false">$B$7</f>
        <v>46312.4179861111</v>
      </c>
      <c r="E17" s="16" t="n">
        <f aca="false">SUMIFS('Raw Data'!$F$2:$F$114,'Raw Data'!$E$2:$E$114,A17)</f>
        <v>11</v>
      </c>
      <c r="F17" s="16" t="n">
        <f aca="false">SUMIFS('Raw Data'!$G$2:$G$114,'Raw Data'!$E$2:$E$114,A17)</f>
        <v>42</v>
      </c>
      <c r="G17" s="19" t="n">
        <f aca="false">IF(C17="","",E17/C17)</f>
        <v>0.733333333333333</v>
      </c>
      <c r="H17" s="17" t="str">
        <f aca="false">IF(C17="","Unknown",IF(E17&gt;=C17,"Yes","No"))</f>
        <v>No</v>
      </c>
      <c r="I17" s="21" t="str">
        <f aca="false">IF(H17="Yes",SUMPRODUCT(MAX(('Raw Data'!$E$2:$E$114=A17)*'Raw Data'!$C$2:$C$114)),"")</f>
        <v/>
      </c>
      <c r="J17" s="22" t="n">
        <f aca="false">IF(H17="Yes",(I17-D17)*24,($B$8-D17)*24)</f>
        <v>3.3125</v>
      </c>
      <c r="K17" s="16" t="n">
        <f aca="false">SUMIFS('Raw Data'!$M$2:$M$114,'Raw Data'!$E$2:$E$114,A17)</f>
        <v>11</v>
      </c>
      <c r="L17" s="25" t="n">
        <f aca="false">IF(J17&gt;0,K17/J17,0)</f>
        <v>3.32075471698113</v>
      </c>
      <c r="M17" s="22" t="n">
        <f aca="false">L17/MAX($L$12:$L$23)</f>
        <v>0.467284563610284</v>
      </c>
      <c r="N17" s="22" t="n">
        <f aca="false">E17/MAX($E$12:$E$23)</f>
        <v>0.458333333333333</v>
      </c>
      <c r="O17" s="16" t="n">
        <f aca="false">100*($B$4*M17+$B$5*N17)</f>
        <v>46.4599194527199</v>
      </c>
      <c r="P17" s="16" t="n">
        <f aca="false">RANK(O17,$O$12:$O$23)</f>
        <v>5</v>
      </c>
      <c r="Q17" s="16" t="n">
        <f aca="false">RANK(E17,$E$12:$E$23)</f>
        <v>4</v>
      </c>
      <c r="R17" s="8" t="n">
        <f aca="false">RANK(L17,$L$12:$L$23)</f>
        <v>5</v>
      </c>
      <c r="S17" s="17"/>
    </row>
    <row r="18" customFormat="false" ht="15" hidden="false" customHeight="false" outlineLevel="0" collapsed="false">
      <c r="A18" s="9" t="s">
        <v>151</v>
      </c>
      <c r="B18" s="23" t="s">
        <v>146</v>
      </c>
      <c r="C18" s="20" t="n">
        <v>22</v>
      </c>
      <c r="D18" s="24" t="n">
        <f aca="false">$B$7</f>
        <v>46312.4179861111</v>
      </c>
      <c r="E18" s="16" t="n">
        <f aca="false">SUMIFS('Raw Data'!$F$2:$F$114,'Raw Data'!$E$2:$E$114,A18)</f>
        <v>10</v>
      </c>
      <c r="F18" s="16" t="n">
        <f aca="false">SUMIFS('Raw Data'!$G$2:$G$114,'Raw Data'!$E$2:$E$114,A18)</f>
        <v>36</v>
      </c>
      <c r="G18" s="19" t="n">
        <f aca="false">IF(C18="","",E18/C18)</f>
        <v>0.454545454545455</v>
      </c>
      <c r="H18" s="17" t="str">
        <f aca="false">IF(C18="","Unknown",IF(E18&gt;=C18,"Yes","No"))</f>
        <v>No</v>
      </c>
      <c r="I18" s="21" t="str">
        <f aca="false">IF(H18="Yes",SUMPRODUCT(MAX(('Raw Data'!$E$2:$E$114=A18)*'Raw Data'!$C$2:$C$114)),"")</f>
        <v/>
      </c>
      <c r="J18" s="22" t="n">
        <f aca="false">IF(H18="Yes",(I18-D18)*24,($B$8-D18)*24)</f>
        <v>3.3125</v>
      </c>
      <c r="K18" s="16" t="n">
        <f aca="false">SUMIFS('Raw Data'!$M$2:$M$114,'Raw Data'!$E$2:$E$114,A18)</f>
        <v>10</v>
      </c>
      <c r="L18" s="25" t="n">
        <f aca="false">IF(J18&gt;0,K18/J18,0)</f>
        <v>3.0188679245283</v>
      </c>
      <c r="M18" s="22" t="n">
        <f aca="false">L18/MAX($L$12:$L$23)</f>
        <v>0.424804148736622</v>
      </c>
      <c r="N18" s="22" t="n">
        <f aca="false">E18/MAX($E$12:$E$23)</f>
        <v>0.416666666666667</v>
      </c>
      <c r="O18" s="16" t="n">
        <f aca="false">100*($B$4*M18+$B$5*N18)</f>
        <v>42.2362904115635</v>
      </c>
      <c r="P18" s="16" t="n">
        <f aca="false">RANK(O18,$O$12:$O$23)</f>
        <v>7</v>
      </c>
      <c r="Q18" s="16" t="n">
        <f aca="false">RANK(E18,$E$12:$E$23)</f>
        <v>6</v>
      </c>
      <c r="R18" s="8" t="n">
        <f aca="false">RANK(L18,$L$12:$L$23)</f>
        <v>7</v>
      </c>
      <c r="S18" s="17" t="s">
        <v>152</v>
      </c>
    </row>
    <row r="19" customFormat="false" ht="15" hidden="false" customHeight="false" outlineLevel="0" collapsed="false">
      <c r="A19" s="9" t="s">
        <v>153</v>
      </c>
      <c r="B19" s="23" t="s">
        <v>154</v>
      </c>
      <c r="C19" s="20" t="n">
        <v>15</v>
      </c>
      <c r="D19" s="24" t="n">
        <f aca="false">$B$7</f>
        <v>46312.4179861111</v>
      </c>
      <c r="E19" s="16" t="n">
        <f aca="false">SUMIFS('Raw Data'!$F$2:$F$114,'Raw Data'!$E$2:$E$114,A19)</f>
        <v>8</v>
      </c>
      <c r="F19" s="16" t="n">
        <f aca="false">SUMIFS('Raw Data'!$G$2:$G$114,'Raw Data'!$E$2:$E$114,A19)</f>
        <v>27</v>
      </c>
      <c r="G19" s="19" t="n">
        <f aca="false">IF(C19="","",E19/C19)</f>
        <v>0.533333333333333</v>
      </c>
      <c r="H19" s="17" t="str">
        <f aca="false">IF(C19="","Unknown",IF(E19&gt;=C19,"Yes","No"))</f>
        <v>No</v>
      </c>
      <c r="I19" s="21" t="str">
        <f aca="false">IF(H19="Yes",SUMPRODUCT(MAX(('Raw Data'!$E$2:$E$114=A19)*'Raw Data'!$C$2:$C$114)),"")</f>
        <v/>
      </c>
      <c r="J19" s="22" t="n">
        <f aca="false">IF(H19="Yes",(I19-D19)*24,($B$8-D19)*24)</f>
        <v>3.3125</v>
      </c>
      <c r="K19" s="16" t="n">
        <f aca="false">SUMIFS('Raw Data'!$M$2:$M$114,'Raw Data'!$E$2:$E$114,A19)</f>
        <v>8</v>
      </c>
      <c r="L19" s="25" t="n">
        <f aca="false">IF(J19&gt;0,K19/J19,0)</f>
        <v>2.41509433962264</v>
      </c>
      <c r="M19" s="22" t="n">
        <f aca="false">L19/MAX($L$12:$L$23)</f>
        <v>0.339843318989297</v>
      </c>
      <c r="N19" s="22" t="n">
        <f aca="false">E19/MAX($E$12:$E$23)</f>
        <v>0.333333333333333</v>
      </c>
      <c r="O19" s="16" t="n">
        <f aca="false">100*($B$4*M19+$B$5*N19)</f>
        <v>33.7890323292508</v>
      </c>
      <c r="P19" s="16" t="n">
        <f aca="false">RANK(O19,$O$12:$O$23)</f>
        <v>8</v>
      </c>
      <c r="Q19" s="16" t="n">
        <f aca="false">RANK(E19,$E$12:$E$23)</f>
        <v>8</v>
      </c>
      <c r="R19" s="8" t="n">
        <f aca="false">RANK(L19,$L$12:$L$23)</f>
        <v>8</v>
      </c>
      <c r="S19" s="17"/>
    </row>
    <row r="20" customFormat="false" ht="15" hidden="false" customHeight="false" outlineLevel="0" collapsed="false">
      <c r="A20" s="9" t="s">
        <v>155</v>
      </c>
      <c r="B20" s="23" t="s">
        <v>143</v>
      </c>
      <c r="C20" s="20" t="n">
        <v>9</v>
      </c>
      <c r="D20" s="24" t="n">
        <f aca="false">$B$7</f>
        <v>46312.4179861111</v>
      </c>
      <c r="E20" s="16" t="n">
        <f aca="false">SUMIFS('Raw Data'!$F$2:$F$114,'Raw Data'!$E$2:$E$114,A20)</f>
        <v>8</v>
      </c>
      <c r="F20" s="16" t="n">
        <f aca="false">SUMIFS('Raw Data'!$G$2:$G$114,'Raw Data'!$E$2:$E$114,A20)</f>
        <v>30</v>
      </c>
      <c r="G20" s="19" t="n">
        <f aca="false">IF(C20="","",E20/C20)</f>
        <v>0.888888888888889</v>
      </c>
      <c r="H20" s="17" t="str">
        <f aca="false">IF(C20="","Unknown",IF(E20&gt;=C20,"Yes","No"))</f>
        <v>No</v>
      </c>
      <c r="I20" s="21" t="str">
        <f aca="false">IF(H20="Yes",SUMPRODUCT(MAX(('Raw Data'!$E$2:$E$114=A20)*'Raw Data'!$C$2:$C$114)),"")</f>
        <v/>
      </c>
      <c r="J20" s="22" t="n">
        <f aca="false">IF(H20="Yes",(I20-D20)*24,($B$8-D20)*24)</f>
        <v>3.3125</v>
      </c>
      <c r="K20" s="16" t="n">
        <f aca="false">SUMIFS('Raw Data'!$M$2:$M$114,'Raw Data'!$E$2:$E$114,A20)</f>
        <v>8</v>
      </c>
      <c r="L20" s="25" t="n">
        <f aca="false">IF(J20&gt;0,K20/J20,0)</f>
        <v>2.41509433962264</v>
      </c>
      <c r="M20" s="22" t="n">
        <f aca="false">L20/MAX($L$12:$L$23)</f>
        <v>0.339843318989297</v>
      </c>
      <c r="N20" s="22" t="n">
        <f aca="false">E20/MAX($E$12:$E$23)</f>
        <v>0.333333333333333</v>
      </c>
      <c r="O20" s="16" t="n">
        <f aca="false">100*($B$4*M20+$B$5*N20)</f>
        <v>33.7890323292508</v>
      </c>
      <c r="P20" s="16" t="n">
        <f aca="false">RANK(O20,$O$12:$O$23)</f>
        <v>8</v>
      </c>
      <c r="Q20" s="16" t="n">
        <f aca="false">RANK(E20,$E$12:$E$23)</f>
        <v>8</v>
      </c>
      <c r="R20" s="8" t="n">
        <f aca="false">RANK(L20,$L$12:$L$23)</f>
        <v>8</v>
      </c>
      <c r="S20" s="17"/>
    </row>
    <row r="21" customFormat="false" ht="15" hidden="false" customHeight="false" outlineLevel="0" collapsed="false">
      <c r="A21" s="9" t="s">
        <v>156</v>
      </c>
      <c r="B21" s="23" t="s">
        <v>138</v>
      </c>
      <c r="C21" s="20" t="n">
        <v>6</v>
      </c>
      <c r="D21" s="24" t="n">
        <f aca="false">$B$7</f>
        <v>46312.4179861111</v>
      </c>
      <c r="E21" s="16" t="n">
        <f aca="false">SUMIFS('Raw Data'!$F$2:$F$114,'Raw Data'!$E$2:$E$114,A21)</f>
        <v>6</v>
      </c>
      <c r="F21" s="16" t="n">
        <f aca="false">SUMIFS('Raw Data'!$G$2:$G$114,'Raw Data'!$E$2:$E$114,A21)</f>
        <v>23</v>
      </c>
      <c r="G21" s="19" t="n">
        <f aca="false">IF(C21="","",E21/C21)</f>
        <v>1</v>
      </c>
      <c r="H21" s="17" t="str">
        <f aca="false">IF(C21="","Unknown",IF(E21&gt;=C21,"Yes","No"))</f>
        <v>Yes</v>
      </c>
      <c r="I21" s="21" t="n">
        <f aca="false">IF(H21="Yes",SUMPRODUCT(MAX(('Raw Data'!$E$2:$E$114=A21)*'Raw Data'!$C$2:$C$114)),"")</f>
        <v>46312.5560069445</v>
      </c>
      <c r="J21" s="22" t="n">
        <f aca="false">IF(H21="Yes",(I21-D21)*24,($B$8-D21)*24)</f>
        <v>3.3125</v>
      </c>
      <c r="K21" s="16" t="n">
        <f aca="false">SUMIFS('Raw Data'!$M$2:$M$114,'Raw Data'!$E$2:$E$114,A21)</f>
        <v>6</v>
      </c>
      <c r="L21" s="25" t="n">
        <f aca="false">IF(J21&gt;0,K21/J21,0)</f>
        <v>1.81132075471698</v>
      </c>
      <c r="M21" s="22" t="n">
        <f aca="false">L21/MAX($L$12:$L$23)</f>
        <v>0.254882489241973</v>
      </c>
      <c r="N21" s="22" t="n">
        <f aca="false">E21/MAX($E$12:$E$23)</f>
        <v>0.25</v>
      </c>
      <c r="O21" s="16" t="n">
        <f aca="false">100*($B$4*M21+$B$5*N21)</f>
        <v>25.3417742469381</v>
      </c>
      <c r="P21" s="16" t="n">
        <f aca="false">RANK(O21,$O$12:$O$23)</f>
        <v>10</v>
      </c>
      <c r="Q21" s="16" t="n">
        <f aca="false">RANK(E21,$E$12:$E$23)</f>
        <v>10</v>
      </c>
      <c r="R21" s="8" t="n">
        <f aca="false">RANK(L21,$L$12:$L$23)</f>
        <v>10</v>
      </c>
      <c r="S21" s="17" t="s">
        <v>157</v>
      </c>
    </row>
    <row r="22" customFormat="false" ht="15" hidden="false" customHeight="false" outlineLevel="0" collapsed="false">
      <c r="A22" s="9" t="s">
        <v>158</v>
      </c>
      <c r="B22" s="23" t="s">
        <v>146</v>
      </c>
      <c r="C22" s="20" t="n">
        <v>9</v>
      </c>
      <c r="D22" s="24" t="n">
        <f aca="false">$B$7</f>
        <v>46312.4179861111</v>
      </c>
      <c r="E22" s="16" t="n">
        <f aca="false">SUMIFS('Raw Data'!$F$2:$F$114,'Raw Data'!$E$2:$E$114,A22)</f>
        <v>3</v>
      </c>
      <c r="F22" s="16" t="n">
        <f aca="false">SUMIFS('Raw Data'!$G$2:$G$114,'Raw Data'!$E$2:$E$114,A22)</f>
        <v>11</v>
      </c>
      <c r="G22" s="19" t="n">
        <f aca="false">IF(C22="","",E22/C22)</f>
        <v>0.333333333333333</v>
      </c>
      <c r="H22" s="17" t="str">
        <f aca="false">IF(C22="","Unknown",IF(E22&gt;=C22,"Yes","No"))</f>
        <v>No</v>
      </c>
      <c r="I22" s="21" t="str">
        <f aca="false">IF(H22="Yes",SUMPRODUCT(MAX(('Raw Data'!$E$2:$E$114=A22)*'Raw Data'!$C$2:$C$114)),"")</f>
        <v/>
      </c>
      <c r="J22" s="22" t="n">
        <f aca="false">IF(H22="Yes",(I22-D22)*24,($B$8-D22)*24)</f>
        <v>3.3125</v>
      </c>
      <c r="K22" s="16" t="n">
        <f aca="false">SUMIFS('Raw Data'!$M$2:$M$114,'Raw Data'!$E$2:$E$114,A22)</f>
        <v>3</v>
      </c>
      <c r="L22" s="25" t="n">
        <f aca="false">IF(J22&gt;0,K22/J22,0)</f>
        <v>0.905660377358491</v>
      </c>
      <c r="M22" s="22" t="n">
        <f aca="false">L22/MAX($L$12:$L$23)</f>
        <v>0.127441244620986</v>
      </c>
      <c r="N22" s="22" t="n">
        <f aca="false">E22/MAX($E$12:$E$23)</f>
        <v>0.125</v>
      </c>
      <c r="O22" s="16" t="n">
        <f aca="false">100*($B$4*M22+$B$5*N22)</f>
        <v>12.670887123469</v>
      </c>
      <c r="P22" s="16" t="n">
        <f aca="false">RANK(O22,$O$12:$O$23)</f>
        <v>11</v>
      </c>
      <c r="Q22" s="16" t="n">
        <f aca="false">RANK(E22,$E$12:$E$23)</f>
        <v>11</v>
      </c>
      <c r="R22" s="8" t="n">
        <f aca="false">RANK(L22,$L$12:$L$23)</f>
        <v>11</v>
      </c>
      <c r="S22" s="17"/>
    </row>
    <row r="23" customFormat="false" ht="15" hidden="false" customHeight="false" outlineLevel="0" collapsed="false">
      <c r="A23" s="9" t="s">
        <v>159</v>
      </c>
      <c r="B23" s="23" t="s">
        <v>154</v>
      </c>
      <c r="C23" s="20" t="n">
        <v>4</v>
      </c>
      <c r="D23" s="24" t="n">
        <f aca="false">$B$7</f>
        <v>46312.4179861111</v>
      </c>
      <c r="E23" s="16" t="n">
        <f aca="false">SUMIFS('Raw Data'!$F$2:$F$114,'Raw Data'!$E$2:$E$114,A23)</f>
        <v>2</v>
      </c>
      <c r="F23" s="16" t="n">
        <f aca="false">SUMIFS('Raw Data'!$G$2:$G$114,'Raw Data'!$E$2:$E$114,A23)</f>
        <v>6</v>
      </c>
      <c r="G23" s="19" t="n">
        <f aca="false">IF(C23="","",E23/C23)</f>
        <v>0.5</v>
      </c>
      <c r="H23" s="17" t="str">
        <f aca="false">IF(C23="","Unknown",IF(E23&gt;=C23,"Yes","No"))</f>
        <v>No</v>
      </c>
      <c r="I23" s="21" t="str">
        <f aca="false">IF(H23="Yes",SUMPRODUCT(MAX(('Raw Data'!$E$2:$E$114=A23)*'Raw Data'!$C$2:$C$114)),"")</f>
        <v/>
      </c>
      <c r="J23" s="22" t="n">
        <f aca="false">IF(H23="Yes",(I23-D23)*24,($B$8-D23)*24)</f>
        <v>3.3125</v>
      </c>
      <c r="K23" s="16" t="n">
        <f aca="false">SUMIFS('Raw Data'!$M$2:$M$114,'Raw Data'!$E$2:$E$114,A23)</f>
        <v>2</v>
      </c>
      <c r="L23" s="25" t="n">
        <f aca="false">IF(J23&gt;0,K23/J23,0)</f>
        <v>0.60377358490566</v>
      </c>
      <c r="M23" s="22" t="n">
        <f aca="false">L23/MAX($L$12:$L$23)</f>
        <v>0.0849608297473243</v>
      </c>
      <c r="N23" s="22" t="n">
        <f aca="false">E23/MAX($E$12:$E$23)</f>
        <v>0.0833333333333333</v>
      </c>
      <c r="O23" s="16" t="n">
        <f aca="false">100*($B$4*M23+$B$5*N23)</f>
        <v>8.4472580823127</v>
      </c>
      <c r="P23" s="16" t="n">
        <f aca="false">RANK(O23,$O$12:$O$23)</f>
        <v>12</v>
      </c>
      <c r="Q23" s="16" t="n">
        <f aca="false">RANK(E23,$E$12:$E$23)</f>
        <v>12</v>
      </c>
      <c r="R23" s="8" t="n">
        <f aca="false">RANK(L23,$L$12:$L$23)</f>
        <v>12</v>
      </c>
      <c r="S23" s="17" t="s">
        <v>160</v>
      </c>
    </row>
    <row r="24" customFormat="false" ht="15" hidden="false" customHeight="false" outlineLevel="0" collapsed="false">
      <c r="A24" s="9" t="s">
        <v>161</v>
      </c>
      <c r="B24" s="23" t="s">
        <v>146</v>
      </c>
      <c r="C24" s="20" t="n">
        <v>4</v>
      </c>
      <c r="D24" s="24" t="n">
        <f aca="false">$B$7</f>
        <v>46312.4179861111</v>
      </c>
      <c r="E24" s="16" t="n">
        <f aca="false">SUMIFS('Raw Data'!$F$2:$F$114,'Raw Data'!$E$2:$E$114,A24)</f>
        <v>0</v>
      </c>
      <c r="F24" s="16" t="n">
        <f aca="false">SUMIFS('Raw Data'!$G$2:$G$114,'Raw Data'!$E$2:$E$114,A24)</f>
        <v>0</v>
      </c>
      <c r="G24" s="19" t="n">
        <f aca="false">IF(C24="","",E24/C24)</f>
        <v>0</v>
      </c>
      <c r="H24" s="17" t="str">
        <f aca="false">IF(C24="","Unknown",IF(E24&gt;=C24,"Yes","No"))</f>
        <v>No</v>
      </c>
      <c r="I24" s="21" t="str">
        <f aca="false">IF(H24="Yes",SUMPRODUCT(MAX(('Raw Data'!$E$2:$E$114=A24)*'Raw Data'!$C$2:$C$114)),"")</f>
        <v/>
      </c>
      <c r="J24" s="22" t="n">
        <f aca="false">IF(H24="Yes",(I24-D24)*24,($B$8-D24)*24)</f>
        <v>3.3125</v>
      </c>
      <c r="K24" s="16" t="n">
        <f aca="false">SUMIFS('Raw Data'!$M$2:$M$114,'Raw Data'!$E$2:$E$114,A24)</f>
        <v>0</v>
      </c>
      <c r="L24" s="25" t="n">
        <f aca="false">IF(J24&gt;0,K24/J24,0)</f>
        <v>0</v>
      </c>
      <c r="M24" s="17"/>
      <c r="N24" s="17"/>
      <c r="O24" s="17"/>
      <c r="P24" s="17"/>
      <c r="Q24" s="17"/>
      <c r="R24" s="17"/>
      <c r="S24" s="17" t="s">
        <v>162</v>
      </c>
    </row>
    <row r="25" customFormat="false" ht="15" hidden="false" customHeight="false" outlineLevel="0" collapsed="false">
      <c r="A25" s="9" t="s">
        <v>163</v>
      </c>
      <c r="B25" s="23" t="s">
        <v>146</v>
      </c>
      <c r="C25" s="20"/>
      <c r="D25" s="24" t="n">
        <f aca="false">$B$7</f>
        <v>46312.4179861111</v>
      </c>
      <c r="E25" s="16" t="n">
        <f aca="false">SUMIFS('Raw Data'!$F$2:$F$114,'Raw Data'!$E$2:$E$114,A25)</f>
        <v>1</v>
      </c>
      <c r="F25" s="16" t="n">
        <f aca="false">SUMIFS('Raw Data'!$G$2:$G$114,'Raw Data'!$E$2:$E$114,A25)</f>
        <v>4</v>
      </c>
      <c r="G25" s="19" t="str">
        <f aca="false">IF(C25="","",E25/C25)</f>
        <v/>
      </c>
      <c r="H25" s="17" t="str">
        <f aca="false">IF(C25="","Unknown",IF(E25&gt;=C25,"Yes","No"))</f>
        <v>Unknown</v>
      </c>
      <c r="I25" s="21" t="str">
        <f aca="false">IF(H25="Yes",SUMPRODUCT(MAX(('Raw Data'!$E$2:$E$114=A25)*'Raw Data'!$C$2:$C$114)),"")</f>
        <v/>
      </c>
      <c r="J25" s="22" t="n">
        <f aca="false">IF(H25="Yes",(I25-D25)*24,($B$8-D25)*24)</f>
        <v>3.3125</v>
      </c>
      <c r="K25" s="16" t="n">
        <f aca="false">SUMIFS('Raw Data'!$M$2:$M$114,'Raw Data'!$E$2:$E$114,A25)</f>
        <v>1</v>
      </c>
      <c r="L25" s="25" t="n">
        <f aca="false">IF(J25&gt;0,K25/J25,0)</f>
        <v>0.30188679245283</v>
      </c>
      <c r="M25" s="17"/>
      <c r="N25" s="17"/>
      <c r="O25" s="17"/>
      <c r="P25" s="17"/>
      <c r="Q25" s="17"/>
      <c r="R25" s="17"/>
      <c r="S25" s="17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1" min="10" style="0" width="12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3" t="s">
        <v>167</v>
      </c>
      <c r="B4" s="18" t="n">
        <v>0.2</v>
      </c>
    </row>
    <row r="5" customFormat="false" ht="15" hidden="false" customHeight="false" outlineLevel="0" collapsed="false">
      <c r="A5" s="3" t="s">
        <v>168</v>
      </c>
      <c r="B5" s="22" t="n">
        <f aca="false">SUMIFS('Raw Data'!$G$2:$G$114,'Raw Data'!$D$2:$D$114,"Clickers &amp; Fidget Toys")/SUMIFS('Raw Data'!$F$2:$F$114,'Raw Data'!$D$2:$D$114,"Clickers &amp; Fidget Toys")</f>
        <v>3.52713178294574</v>
      </c>
    </row>
    <row r="6" customFormat="false" ht="15" hidden="false" customHeight="false" outlineLevel="0" collapsed="false">
      <c r="A6" s="3" t="s">
        <v>125</v>
      </c>
      <c r="B6" s="26" t="n">
        <f aca="false">'Design Ranking'!B9</f>
        <v>3.3125</v>
      </c>
    </row>
    <row r="8" customFormat="false" ht="31.5" hidden="false" customHeight="true" outlineLevel="0" collapsed="false">
      <c r="A8" s="7" t="s">
        <v>81</v>
      </c>
      <c r="B8" s="7" t="s">
        <v>86</v>
      </c>
      <c r="C8" s="7" t="s">
        <v>85</v>
      </c>
      <c r="D8" s="7" t="s">
        <v>169</v>
      </c>
      <c r="E8" s="7" t="s">
        <v>83</v>
      </c>
      <c r="F8" s="7" t="s">
        <v>170</v>
      </c>
      <c r="G8" s="7" t="s">
        <v>82</v>
      </c>
      <c r="H8" s="7" t="s">
        <v>171</v>
      </c>
      <c r="I8" s="7" t="s">
        <v>172</v>
      </c>
      <c r="J8" s="7" t="s">
        <v>173</v>
      </c>
      <c r="K8" s="7" t="s">
        <v>174</v>
      </c>
    </row>
    <row r="9" customFormat="false" ht="15" hidden="false" customHeight="false" outlineLevel="0" collapsed="false">
      <c r="A9" s="14" t="str">
        <f aca="false">'Design Ranking'!A12</f>
        <v>Dumpling</v>
      </c>
      <c r="B9" s="13" t="n">
        <f aca="false">IF('Design Ranking'!C12="","",'Design Ranking'!C12)</f>
        <v>24</v>
      </c>
      <c r="C9" s="13" t="n">
        <f aca="false">'Design Ranking'!E12</f>
        <v>24</v>
      </c>
      <c r="D9" s="16" t="n">
        <f aca="false">IF(B9="","",MAX(0,B9-C9))</f>
        <v>0</v>
      </c>
      <c r="E9" s="11" t="n">
        <f aca="false">'Design Ranking'!I12</f>
        <v>46312.5293865741</v>
      </c>
      <c r="F9" s="22" t="n">
        <f aca="false">IF('Design Ranking'!H12="Yes",('Design Ranking'!$B$8-'Design Ranking'!I12)*24,0)</f>
        <v>0.638888888888889</v>
      </c>
      <c r="G9" s="10" t="n">
        <f aca="false">'Design Ranking'!L12</f>
        <v>7.10649350649351</v>
      </c>
      <c r="H9" s="25" t="n">
        <f aca="false">G9*F9</f>
        <v>4.54025974025974</v>
      </c>
      <c r="I9" s="16" t="n">
        <f aca="false">H9*$B$5</f>
        <v>16.0140944326991</v>
      </c>
      <c r="J9" s="27" t="n">
        <f aca="false">ROUNDUP(G9*$B$6*(1+$B$4),0)</f>
        <v>29</v>
      </c>
      <c r="K9" s="28" t="n">
        <f aca="false">IF(B9="","",J9-B9)</f>
        <v>5</v>
      </c>
    </row>
    <row r="10" customFormat="false" ht="15" hidden="false" customHeight="false" outlineLevel="0" collapsed="false">
      <c r="A10" s="14" t="str">
        <f aca="false">'Design Ranking'!A13</f>
        <v>Salmon nigiri</v>
      </c>
      <c r="B10" s="13" t="n">
        <f aca="false">IF('Design Ranking'!C13="","",'Design Ranking'!C13)</f>
        <v>23</v>
      </c>
      <c r="C10" s="13" t="n">
        <f aca="false">'Design Ranking'!E13</f>
        <v>23</v>
      </c>
      <c r="D10" s="16" t="n">
        <f aca="false">IF(B10="","",MAX(0,B10-C10))</f>
        <v>0</v>
      </c>
      <c r="E10" s="11" t="n">
        <f aca="false">'Design Ranking'!I13</f>
        <v>46312.5560069445</v>
      </c>
      <c r="F10" s="22" t="n">
        <f aca="false">IF('Design Ranking'!H13="Yes",('Design Ranking'!$B$8-'Design Ranking'!I13)*24,0)</f>
        <v>0</v>
      </c>
      <c r="G10" s="10" t="n">
        <f aca="false">'Design Ranking'!L13</f>
        <v>6.9433962264151</v>
      </c>
      <c r="H10" s="25" t="n">
        <f aca="false">G10*F10</f>
        <v>0</v>
      </c>
      <c r="I10" s="16" t="n">
        <f aca="false">H10*$B$5</f>
        <v>0</v>
      </c>
      <c r="J10" s="27" t="n">
        <f aca="false">ROUNDUP(G10*$B$6*(1+$B$4),0)</f>
        <v>28</v>
      </c>
      <c r="K10" s="28" t="n">
        <f aca="false">IF(B10="","",J10-B10)</f>
        <v>5</v>
      </c>
    </row>
    <row r="11" customFormat="false" ht="15" hidden="false" customHeight="false" outlineLevel="0" collapsed="false">
      <c r="A11" s="14" t="str">
        <f aca="false">'Design Ranking'!A14</f>
        <v>Creeper</v>
      </c>
      <c r="B11" s="13" t="n">
        <f aca="false">IF('Design Ranking'!C14="","",'Design Ranking'!C14)</f>
        <v>10</v>
      </c>
      <c r="C11" s="13" t="n">
        <f aca="false">'Design Ranking'!E14</f>
        <v>10</v>
      </c>
      <c r="D11" s="16" t="n">
        <f aca="false">IF(B11="","",MAX(0,B11-C11))</f>
        <v>0</v>
      </c>
      <c r="E11" s="11" t="n">
        <f aca="false">'Design Ranking'!I14</f>
        <v>46312.4918865741</v>
      </c>
      <c r="F11" s="22" t="n">
        <f aca="false">IF('Design Ranking'!H14="Yes",('Design Ranking'!$B$8-'Design Ranking'!I14)*24,0)</f>
        <v>1.53888888888889</v>
      </c>
      <c r="G11" s="10" t="n">
        <f aca="false">'Design Ranking'!L14</f>
        <v>5.63821456538763</v>
      </c>
      <c r="H11" s="25" t="n">
        <f aca="false">G11*F11</f>
        <v>8.67658574784652</v>
      </c>
      <c r="I11" s="16" t="n">
        <f aca="false">H11*$B$5</f>
        <v>30.6034613586834</v>
      </c>
      <c r="J11" s="27" t="n">
        <f aca="false">ROUNDUP(G11*$B$6*(1+$B$4),0)</f>
        <v>23</v>
      </c>
      <c r="K11" s="28" t="n">
        <f aca="false">IF(B11="","",J11-B11)</f>
        <v>13</v>
      </c>
    </row>
    <row r="12" customFormat="false" ht="15" hidden="false" customHeight="false" outlineLevel="0" collapsed="false">
      <c r="A12" s="14" t="str">
        <f aca="false">'Design Ranking'!A15</f>
        <v>Avocado</v>
      </c>
      <c r="B12" s="13" t="n">
        <f aca="false">IF('Design Ranking'!C15="","",'Design Ranking'!C15)</f>
        <v>12</v>
      </c>
      <c r="C12" s="13" t="n">
        <f aca="false">'Design Ranking'!E15</f>
        <v>12</v>
      </c>
      <c r="D12" s="16" t="n">
        <f aca="false">IF(B12="","",MAX(0,B12-C12))</f>
        <v>0</v>
      </c>
      <c r="E12" s="11" t="n">
        <f aca="false">'Design Ranking'!I15</f>
        <v>46312.5303472222</v>
      </c>
      <c r="F12" s="22" t="n">
        <f aca="false">IF('Design Ranking'!H15="Yes",('Design Ranking'!$B$8-'Design Ranking'!I15)*24,0)</f>
        <v>0.615833333333333</v>
      </c>
      <c r="G12" s="10" t="n">
        <f aca="false">'Design Ranking'!L15</f>
        <v>4.44993819530284</v>
      </c>
      <c r="H12" s="25" t="n">
        <f aca="false">G12*F12</f>
        <v>2.74042027194067</v>
      </c>
      <c r="I12" s="16" t="n">
        <f aca="false">H12*$B$5</f>
        <v>9.66582343979073</v>
      </c>
      <c r="J12" s="27" t="n">
        <f aca="false">ROUNDUP(G12*$B$6*(1+$B$4),0)</f>
        <v>18</v>
      </c>
      <c r="K12" s="28" t="n">
        <f aca="false">IF(B12="","",J12-B12)</f>
        <v>6</v>
      </c>
    </row>
    <row r="13" customFormat="false" ht="15" hidden="false" customHeight="false" outlineLevel="0" collapsed="false">
      <c r="A13" s="14" t="str">
        <f aca="false">'Design Ranking'!A16</f>
        <v>Egg tart</v>
      </c>
      <c r="B13" s="13" t="str">
        <f aca="false">IF('Design Ranking'!C16="","",'Design Ranking'!C16)</f>
        <v/>
      </c>
      <c r="C13" s="13" t="n">
        <f aca="false">'Design Ranking'!E16</f>
        <v>11</v>
      </c>
      <c r="D13" s="16" t="str">
        <f aca="false">IF(B13="","",MAX(0,B13-C13))</f>
        <v/>
      </c>
      <c r="E13" s="11" t="str">
        <f aca="false">'Design Ranking'!I16</f>
        <v/>
      </c>
      <c r="F13" s="22" t="n">
        <f aca="false">IF('Design Ranking'!H16="Yes",('Design Ranking'!$B$8-'Design Ranking'!I16)*24,0)</f>
        <v>0</v>
      </c>
      <c r="G13" s="10" t="n">
        <f aca="false">'Design Ranking'!L16</f>
        <v>3.32075471698113</v>
      </c>
      <c r="H13" s="25" t="n">
        <f aca="false">G13*F13</f>
        <v>0</v>
      </c>
      <c r="I13" s="16" t="n">
        <f aca="false">H13*$B$5</f>
        <v>0</v>
      </c>
      <c r="J13" s="27" t="n">
        <f aca="false">ROUNDUP(G13*$B$6*(1+$B$4),0)</f>
        <v>14</v>
      </c>
      <c r="K13" s="28" t="str">
        <f aca="false">IF(B13="","",J13-B13)</f>
        <v/>
      </c>
    </row>
    <row r="14" customFormat="false" ht="15" hidden="false" customHeight="false" outlineLevel="0" collapsed="false">
      <c r="A14" s="14" t="str">
        <f aca="false">'Design Ranking'!A17</f>
        <v>Chocolate bar</v>
      </c>
      <c r="B14" s="13" t="n">
        <f aca="false">IF('Design Ranking'!C17="","",'Design Ranking'!C17)</f>
        <v>15</v>
      </c>
      <c r="C14" s="13" t="n">
        <f aca="false">'Design Ranking'!E17</f>
        <v>11</v>
      </c>
      <c r="D14" s="16" t="n">
        <f aca="false">IF(B14="","",MAX(0,B14-C14))</f>
        <v>4</v>
      </c>
      <c r="E14" s="11" t="str">
        <f aca="false">'Design Ranking'!I17</f>
        <v/>
      </c>
      <c r="F14" s="22" t="n">
        <f aca="false">IF('Design Ranking'!H17="Yes",('Design Ranking'!$B$8-'Design Ranking'!I17)*24,0)</f>
        <v>0</v>
      </c>
      <c r="G14" s="10" t="n">
        <f aca="false">'Design Ranking'!L17</f>
        <v>3.32075471698113</v>
      </c>
      <c r="H14" s="25" t="n">
        <f aca="false">G14*F14</f>
        <v>0</v>
      </c>
      <c r="I14" s="16" t="n">
        <f aca="false">H14*$B$5</f>
        <v>0</v>
      </c>
      <c r="J14" s="27" t="n">
        <f aca="false">ROUNDUP(G14*$B$6*(1+$B$4),0)</f>
        <v>14</v>
      </c>
      <c r="K14" s="28" t="n">
        <f aca="false">IF(B14="","",J14-B14)</f>
        <v>-1</v>
      </c>
    </row>
    <row r="15" customFormat="false" ht="15" hidden="false" customHeight="false" outlineLevel="0" collapsed="false">
      <c r="A15" s="14" t="str">
        <f aca="false">'Design Ranking'!A18</f>
        <v>Hot dog bun</v>
      </c>
      <c r="B15" s="13" t="n">
        <f aca="false">IF('Design Ranking'!C18="","",'Design Ranking'!C18)</f>
        <v>22</v>
      </c>
      <c r="C15" s="13" t="n">
        <f aca="false">'Design Ranking'!E18</f>
        <v>10</v>
      </c>
      <c r="D15" s="16" t="n">
        <f aca="false">IF(B15="","",MAX(0,B15-C15))</f>
        <v>12</v>
      </c>
      <c r="E15" s="11" t="str">
        <f aca="false">'Design Ranking'!I18</f>
        <v/>
      </c>
      <c r="F15" s="22" t="n">
        <f aca="false">IF('Design Ranking'!H18="Yes",('Design Ranking'!$B$8-'Design Ranking'!I18)*24,0)</f>
        <v>0</v>
      </c>
      <c r="G15" s="10" t="n">
        <f aca="false">'Design Ranking'!L18</f>
        <v>3.0188679245283</v>
      </c>
      <c r="H15" s="25" t="n">
        <f aca="false">G15*F15</f>
        <v>0</v>
      </c>
      <c r="I15" s="16" t="n">
        <f aca="false">H15*$B$5</f>
        <v>0</v>
      </c>
      <c r="J15" s="27" t="n">
        <f aca="false">ROUNDUP(G15*$B$6*(1+$B$4),0)</f>
        <v>12</v>
      </c>
      <c r="K15" s="28" t="n">
        <f aca="false">IF(B15="","",J15-B15)</f>
        <v>-10</v>
      </c>
    </row>
    <row r="16" customFormat="false" ht="15" hidden="false" customHeight="false" outlineLevel="0" collapsed="false">
      <c r="A16" s="14" t="str">
        <f aca="false">'Design Ranking'!A19</f>
        <v>WD-40</v>
      </c>
      <c r="B16" s="13" t="n">
        <f aca="false">IF('Design Ranking'!C19="","",'Design Ranking'!C19)</f>
        <v>15</v>
      </c>
      <c r="C16" s="13" t="n">
        <f aca="false">'Design Ranking'!E19</f>
        <v>8</v>
      </c>
      <c r="D16" s="16" t="n">
        <f aca="false">IF(B16="","",MAX(0,B16-C16))</f>
        <v>7</v>
      </c>
      <c r="E16" s="11" t="str">
        <f aca="false">'Design Ranking'!I19</f>
        <v/>
      </c>
      <c r="F16" s="22" t="n">
        <f aca="false">IF('Design Ranking'!H19="Yes",('Design Ranking'!$B$8-'Design Ranking'!I19)*24,0)</f>
        <v>0</v>
      </c>
      <c r="G16" s="10" t="n">
        <f aca="false">'Design Ranking'!L19</f>
        <v>2.41509433962264</v>
      </c>
      <c r="H16" s="25" t="n">
        <f aca="false">G16*F16</f>
        <v>0</v>
      </c>
      <c r="I16" s="16" t="n">
        <f aca="false">H16*$B$5</f>
        <v>0</v>
      </c>
      <c r="J16" s="27" t="n">
        <f aca="false">ROUNDUP(G16*$B$6*(1+$B$4),0)</f>
        <v>10</v>
      </c>
      <c r="K16" s="28" t="n">
        <f aca="false">IF(B16="","",J16-B16)</f>
        <v>-5</v>
      </c>
    </row>
    <row r="17" customFormat="false" ht="15" hidden="false" customHeight="false" outlineLevel="0" collapsed="false">
      <c r="A17" s="14" t="str">
        <f aca="false">'Design Ranking'!A20</f>
        <v>Creeper infinity cube</v>
      </c>
      <c r="B17" s="13" t="n">
        <f aca="false">IF('Design Ranking'!C20="","",'Design Ranking'!C20)</f>
        <v>9</v>
      </c>
      <c r="C17" s="13" t="n">
        <f aca="false">'Design Ranking'!E20</f>
        <v>8</v>
      </c>
      <c r="D17" s="16" t="n">
        <f aca="false">IF(B17="","",MAX(0,B17-C17))</f>
        <v>1</v>
      </c>
      <c r="E17" s="11" t="str">
        <f aca="false">'Design Ranking'!I20</f>
        <v/>
      </c>
      <c r="F17" s="22" t="n">
        <f aca="false">IF('Design Ranking'!H20="Yes",('Design Ranking'!$B$8-'Design Ranking'!I20)*24,0)</f>
        <v>0</v>
      </c>
      <c r="G17" s="10" t="n">
        <f aca="false">'Design Ranking'!L20</f>
        <v>2.41509433962264</v>
      </c>
      <c r="H17" s="25" t="n">
        <f aca="false">G17*F17</f>
        <v>0</v>
      </c>
      <c r="I17" s="16" t="n">
        <f aca="false">H17*$B$5</f>
        <v>0</v>
      </c>
      <c r="J17" s="27" t="n">
        <f aca="false">ROUNDUP(G17*$B$6*(1+$B$4),0)</f>
        <v>10</v>
      </c>
      <c r="K17" s="28" t="n">
        <f aca="false">IF(B17="","",J17-B17)</f>
        <v>1</v>
      </c>
    </row>
    <row r="18" customFormat="false" ht="15" hidden="false" customHeight="false" outlineLevel="0" collapsed="false">
      <c r="A18" s="14" t="str">
        <f aca="false">'Design Ranking'!A21</f>
        <v>Spam musubi</v>
      </c>
      <c r="B18" s="13" t="n">
        <f aca="false">IF('Design Ranking'!C21="","",'Design Ranking'!C21)</f>
        <v>6</v>
      </c>
      <c r="C18" s="13" t="n">
        <f aca="false">'Design Ranking'!E21</f>
        <v>6</v>
      </c>
      <c r="D18" s="16" t="n">
        <f aca="false">IF(B18="","",MAX(0,B18-C18))</f>
        <v>0</v>
      </c>
      <c r="E18" s="11" t="n">
        <f aca="false">'Design Ranking'!I21</f>
        <v>46312.5560069445</v>
      </c>
      <c r="F18" s="22" t="n">
        <f aca="false">IF('Design Ranking'!H21="Yes",('Design Ranking'!$B$8-'Design Ranking'!I21)*24,0)</f>
        <v>0</v>
      </c>
      <c r="G18" s="10" t="n">
        <f aca="false">'Design Ranking'!L21</f>
        <v>1.81132075471698</v>
      </c>
      <c r="H18" s="25" t="n">
        <f aca="false">G18*F18</f>
        <v>0</v>
      </c>
      <c r="I18" s="16" t="n">
        <f aca="false">H18*$B$5</f>
        <v>0</v>
      </c>
      <c r="J18" s="27" t="n">
        <f aca="false">ROUNDUP(G18*$B$6*(1+$B$4),0)</f>
        <v>8</v>
      </c>
      <c r="K18" s="28" t="n">
        <f aca="false">IF(B18="","",J18-B18)</f>
        <v>2</v>
      </c>
    </row>
    <row r="19" customFormat="false" ht="15" hidden="false" customHeight="false" outlineLevel="0" collapsed="false">
      <c r="A19" s="14" t="str">
        <f aca="false">'Design Ranking'!A22</f>
        <v>S'mores</v>
      </c>
      <c r="B19" s="13" t="n">
        <f aca="false">IF('Design Ranking'!C22="","",'Design Ranking'!C22)</f>
        <v>9</v>
      </c>
      <c r="C19" s="13" t="n">
        <f aca="false">'Design Ranking'!E22</f>
        <v>3</v>
      </c>
      <c r="D19" s="16" t="n">
        <f aca="false">IF(B19="","",MAX(0,B19-C19))</f>
        <v>6</v>
      </c>
      <c r="E19" s="11" t="str">
        <f aca="false">'Design Ranking'!I22</f>
        <v/>
      </c>
      <c r="F19" s="22" t="n">
        <f aca="false">IF('Design Ranking'!H22="Yes",('Design Ranking'!$B$8-'Design Ranking'!I22)*24,0)</f>
        <v>0</v>
      </c>
      <c r="G19" s="10" t="n">
        <f aca="false">'Design Ranking'!L22</f>
        <v>0.905660377358491</v>
      </c>
      <c r="H19" s="25" t="n">
        <f aca="false">G19*F19</f>
        <v>0</v>
      </c>
      <c r="I19" s="16" t="n">
        <f aca="false">H19*$B$5</f>
        <v>0</v>
      </c>
      <c r="J19" s="27" t="n">
        <f aca="false">ROUNDUP(G19*$B$6*(1+$B$4),0)</f>
        <v>4</v>
      </c>
      <c r="K19" s="28" t="n">
        <f aca="false">IF(B19="","",J19-B19)</f>
        <v>-5</v>
      </c>
    </row>
    <row r="20" customFormat="false" ht="15" hidden="false" customHeight="false" outlineLevel="0" collapsed="false">
      <c r="A20" s="14" t="str">
        <f aca="false">'Design Ranking'!A23</f>
        <v>LEGO brick</v>
      </c>
      <c r="B20" s="13" t="n">
        <f aca="false">IF('Design Ranking'!C23="","",'Design Ranking'!C23)</f>
        <v>4</v>
      </c>
      <c r="C20" s="13" t="n">
        <f aca="false">'Design Ranking'!E23</f>
        <v>2</v>
      </c>
      <c r="D20" s="16" t="n">
        <f aca="false">IF(B20="","",MAX(0,B20-C20))</f>
        <v>2</v>
      </c>
      <c r="E20" s="11" t="str">
        <f aca="false">'Design Ranking'!I23</f>
        <v/>
      </c>
      <c r="F20" s="22" t="n">
        <f aca="false">IF('Design Ranking'!H23="Yes",('Design Ranking'!$B$8-'Design Ranking'!I23)*24,0)</f>
        <v>0</v>
      </c>
      <c r="G20" s="10" t="n">
        <f aca="false">'Design Ranking'!L23</f>
        <v>0.60377358490566</v>
      </c>
      <c r="H20" s="25" t="n">
        <f aca="false">G20*F20</f>
        <v>0</v>
      </c>
      <c r="I20" s="16" t="n">
        <f aca="false">H20*$B$5</f>
        <v>0</v>
      </c>
      <c r="J20" s="27" t="n">
        <f aca="false">ROUNDUP(G20*$B$6*(1+$B$4),0)</f>
        <v>3</v>
      </c>
      <c r="K20" s="28" t="n">
        <f aca="false">IF(B20="","",J20-B20)</f>
        <v>-1</v>
      </c>
    </row>
    <row r="21" customFormat="false" ht="15" hidden="false" customHeight="false" outlineLevel="0" collapsed="false">
      <c r="A21" s="29" t="s">
        <v>175</v>
      </c>
      <c r="B21" s="8" t="n">
        <f aca="false">SUM(B9:B20)</f>
        <v>149</v>
      </c>
      <c r="C21" s="8" t="n">
        <f aca="false">SUM(C9:C20)</f>
        <v>128</v>
      </c>
      <c r="D21" s="8" t="n">
        <f aca="false">SUM(D9:D20)</f>
        <v>32</v>
      </c>
      <c r="E21" s="30"/>
      <c r="F21" s="30"/>
      <c r="G21" s="30"/>
      <c r="H21" s="31" t="n">
        <f aca="false">SUM(H9:H20)</f>
        <v>15.9572657600469</v>
      </c>
      <c r="I21" s="8" t="n">
        <f aca="false">SUM(I9:I20)</f>
        <v>56.2833792311733</v>
      </c>
      <c r="J21" s="8" t="n">
        <f aca="false">SUM(J9:J20)</f>
        <v>173</v>
      </c>
      <c r="K21" s="30"/>
    </row>
    <row r="22" customFormat="false" ht="15" hidden="false" customHeight="false" outlineLevel="0" collapsed="false">
      <c r="A22" s="17" t="s">
        <v>176</v>
      </c>
      <c r="B22" s="13" t="n">
        <f aca="false">'Design Ranking'!C24</f>
        <v>4</v>
      </c>
      <c r="D22" s="16" t="n">
        <f aca="false">B22</f>
        <v>4</v>
      </c>
    </row>
    <row r="24" customFormat="false" ht="15" hidden="false" customHeight="false" outlineLevel="0" collapsed="false">
      <c r="A24" s="3" t="s">
        <v>177</v>
      </c>
    </row>
    <row r="25" customFormat="false" ht="23.85" hidden="false" customHeight="false" outlineLevel="0" collapsed="false">
      <c r="A25" s="7" t="s">
        <v>178</v>
      </c>
      <c r="B25" s="7" t="s">
        <v>179</v>
      </c>
      <c r="C25" s="7" t="s">
        <v>180</v>
      </c>
      <c r="D25" s="7" t="s">
        <v>93</v>
      </c>
      <c r="E25" s="7" t="s">
        <v>181</v>
      </c>
      <c r="F25" s="7" t="s">
        <v>92</v>
      </c>
    </row>
    <row r="26" customFormat="false" ht="15" hidden="false" customHeight="false" outlineLevel="0" collapsed="false">
      <c r="A26" s="17" t="s">
        <v>182</v>
      </c>
      <c r="B26" s="11" t="n">
        <f aca="false">'Design Ranking'!B7</f>
        <v>46312.4179861111</v>
      </c>
      <c r="C26" s="21" t="n">
        <f aca="false">MAX('Design Ranking'!I14,'Design Ranking'!I12,'Design Ranking'!I15)</f>
        <v>46312.5303472222</v>
      </c>
      <c r="D26" s="16" t="n">
        <f aca="false">SUMIFS('Raw Data'!$F$2:$F$114,'Raw Data'!$D$2:$D$114,"Clickers &amp; Fidget Toys",'Raw Data'!$C$2:$C$114,"&gt;="&amp;B26,'Raw Data'!$C$2:$C$114,"&lt;="&amp;C26)</f>
        <v>117</v>
      </c>
      <c r="E26" s="25" t="n">
        <f aca="false">D26/((C26-B26)*24)</f>
        <v>43.3868974042027</v>
      </c>
      <c r="F26" s="16" t="n">
        <f aca="false">COUNTIFS(Baskets!$C$2:$C$70,"&gt;="&amp;B26,Baskets!$C$2:$C$70,"&lt;="&amp;C26)</f>
        <v>65</v>
      </c>
    </row>
    <row r="27" customFormat="false" ht="15" hidden="false" customHeight="false" outlineLevel="0" collapsed="false">
      <c r="A27" s="17" t="s">
        <v>183</v>
      </c>
      <c r="B27" s="21" t="n">
        <f aca="false">C26</f>
        <v>46312.5303472222</v>
      </c>
      <c r="C27" s="11" t="n">
        <f aca="false">'Design Ranking'!B8</f>
        <v>46312.5560069445</v>
      </c>
      <c r="D27" s="16" t="n">
        <f aca="false">SUMIFS('Raw Data'!$F$2:$F$114,'Raw Data'!$D$2:$D$114,"Clickers &amp; Fidget Toys",'Raw Data'!$C$2:$C$114,"&gt;"&amp;B27,'Raw Data'!$C$2:$C$114,"&lt;="&amp;C27)</f>
        <v>12</v>
      </c>
      <c r="E27" s="25" t="n">
        <f aca="false">D27/((C27-B27)*24)</f>
        <v>19.4857916102842</v>
      </c>
      <c r="F27" s="16" t="n">
        <f aca="false">COUNTIFS(Baskets!$C$2:$C$70,"&gt;"&amp;B27,Baskets!$C$2:$C$70,"&lt;="&amp;C27)</f>
        <v>4</v>
      </c>
    </row>
    <row r="28" customFormat="false" ht="15" hidden="false" customHeight="false" outlineLevel="0" collapsed="false">
      <c r="A28" s="15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15" hidden="false" customHeight="false" outlineLevel="0" collapsed="false">
      <c r="A4" s="3" t="s">
        <v>187</v>
      </c>
      <c r="B4" s="20" t="n">
        <v>830</v>
      </c>
    </row>
    <row r="5" customFormat="false" ht="15" hidden="false" customHeight="false" outlineLevel="0" collapsed="false">
      <c r="A5" s="3" t="s">
        <v>188</v>
      </c>
      <c r="B5" s="20" t="n">
        <v>900</v>
      </c>
    </row>
    <row r="6" customFormat="false" ht="15" hidden="false" customHeight="false" outlineLevel="0" collapsed="false">
      <c r="A6" s="3" t="s">
        <v>189</v>
      </c>
      <c r="B6" s="20" t="n">
        <v>500</v>
      </c>
    </row>
    <row r="7" customFormat="false" ht="15" hidden="false" customHeight="false" outlineLevel="0" collapsed="false">
      <c r="A7" s="3" t="s">
        <v>190</v>
      </c>
      <c r="B7" s="20" t="n">
        <v>530</v>
      </c>
    </row>
    <row r="8" customFormat="false" ht="15" hidden="false" customHeight="false" outlineLevel="0" collapsed="false">
      <c r="A8" s="3" t="s">
        <v>191</v>
      </c>
      <c r="B8" s="20" t="n">
        <v>50</v>
      </c>
    </row>
    <row r="9" customFormat="false" ht="15" hidden="false" customHeight="false" outlineLevel="0" collapsed="false">
      <c r="A9" s="3" t="s">
        <v>192</v>
      </c>
      <c r="B9" s="20" t="n">
        <v>60</v>
      </c>
    </row>
    <row r="10" customFormat="false" ht="15" hidden="false" customHeight="false" outlineLevel="0" collapsed="false">
      <c r="A10" s="3" t="s">
        <v>193</v>
      </c>
      <c r="B10" s="20" t="n">
        <v>1</v>
      </c>
    </row>
    <row r="11" customFormat="false" ht="15" hidden="false" customHeight="false" outlineLevel="0" collapsed="false">
      <c r="A11" s="3" t="s">
        <v>194</v>
      </c>
      <c r="B11" s="20" t="n">
        <v>5</v>
      </c>
    </row>
    <row r="12" customFormat="false" ht="15" hidden="false" customHeight="false" outlineLevel="0" collapsed="false">
      <c r="A12" s="3" t="s">
        <v>195</v>
      </c>
      <c r="B12" s="18" t="n">
        <v>0.1</v>
      </c>
    </row>
    <row r="13" customFormat="false" ht="15" hidden="false" customHeight="false" outlineLevel="0" collapsed="false">
      <c r="A13" s="3" t="s">
        <v>196</v>
      </c>
      <c r="B13" s="20" t="n">
        <v>1</v>
      </c>
    </row>
    <row r="15" customFormat="false" ht="30" hidden="false" customHeight="true" outlineLevel="0" collapsed="false">
      <c r="A15" s="7" t="s">
        <v>197</v>
      </c>
      <c r="B15" s="7" t="s">
        <v>198</v>
      </c>
      <c r="C15" s="7" t="s">
        <v>199</v>
      </c>
      <c r="D15" s="7" t="s">
        <v>200</v>
      </c>
      <c r="E15" s="7" t="s">
        <v>201</v>
      </c>
      <c r="F15" s="7" t="s">
        <v>202</v>
      </c>
      <c r="G15" s="7" t="s">
        <v>203</v>
      </c>
      <c r="H15" s="7" t="s">
        <v>204</v>
      </c>
    </row>
    <row r="16" customFormat="false" ht="15" hidden="false" customHeight="false" outlineLevel="0" collapsed="false">
      <c r="A16" s="9" t="s">
        <v>205</v>
      </c>
      <c r="B16" s="16" t="n">
        <f aca="false">SUMIFS('Raw Data'!$G$2:$G$114,'Raw Data'!$D$2:$D$114,"Clickers &amp; Fidget Toys")</f>
        <v>455</v>
      </c>
      <c r="C16" s="16" t="n">
        <f aca="false">B6-B17</f>
        <v>473</v>
      </c>
      <c r="D16" s="16" t="n">
        <f aca="false">B7-B17</f>
        <v>503</v>
      </c>
      <c r="E16" s="27" t="n">
        <f aca="false">AVERAGE(C16:D16)</f>
        <v>488</v>
      </c>
      <c r="F16" s="20" t="n">
        <v>500</v>
      </c>
      <c r="G16" s="19" t="n">
        <f aca="false">E16/F16</f>
        <v>0.976</v>
      </c>
      <c r="H16" s="17" t="s">
        <v>206</v>
      </c>
    </row>
    <row r="17" customFormat="false" ht="15" hidden="false" customHeight="false" outlineLevel="0" collapsed="false">
      <c r="A17" s="9" t="s">
        <v>65</v>
      </c>
      <c r="B17" s="16" t="n">
        <f aca="false">SUMIFS('Raw Data'!$G$2:$G$114,'Raw Data'!$D$2:$D$114,"Copters")</f>
        <v>27</v>
      </c>
      <c r="C17" s="16" t="n">
        <f aca="false">B17</f>
        <v>27</v>
      </c>
      <c r="D17" s="16" t="n">
        <f aca="false">B17</f>
        <v>27</v>
      </c>
      <c r="E17" s="27" t="n">
        <f aca="false">AVERAGE(C17:D17)</f>
        <v>27</v>
      </c>
      <c r="F17" s="20" t="n">
        <v>500</v>
      </c>
      <c r="G17" s="19" t="n">
        <f aca="false">E17/F17</f>
        <v>0.054</v>
      </c>
      <c r="H17" s="17" t="s">
        <v>207</v>
      </c>
    </row>
    <row r="18" customFormat="false" ht="15" hidden="false" customHeight="false" outlineLevel="0" collapsed="false">
      <c r="A18" s="9" t="s">
        <v>208</v>
      </c>
      <c r="B18" s="16" t="n">
        <v>0</v>
      </c>
      <c r="C18" s="16" t="n">
        <f aca="false">B8</f>
        <v>50</v>
      </c>
      <c r="D18" s="16" t="n">
        <f aca="false">B9</f>
        <v>60</v>
      </c>
      <c r="E18" s="27" t="n">
        <f aca="false">AVERAGE(C18:D18)</f>
        <v>55</v>
      </c>
      <c r="F18" s="20" t="n">
        <v>200</v>
      </c>
      <c r="G18" s="19" t="n">
        <f aca="false">E18/F18</f>
        <v>0.275</v>
      </c>
      <c r="H18" s="17" t="s">
        <v>209</v>
      </c>
    </row>
    <row r="19" customFormat="false" ht="15" hidden="false" customHeight="false" outlineLevel="0" collapsed="false">
      <c r="A19" s="9" t="s">
        <v>210</v>
      </c>
      <c r="B19" s="16" t="n">
        <v>0</v>
      </c>
      <c r="C19" s="16" t="n">
        <f aca="false">B5-B7-B9</f>
        <v>310</v>
      </c>
      <c r="D19" s="16" t="n">
        <f aca="false">B5-B6-B8</f>
        <v>350</v>
      </c>
      <c r="E19" s="27" t="n">
        <f aca="false">AVERAGE(C19:D19)</f>
        <v>330</v>
      </c>
      <c r="F19" s="20" t="n">
        <v>100</v>
      </c>
      <c r="G19" s="19" t="n">
        <f aca="false">E19/F19</f>
        <v>3.3</v>
      </c>
      <c r="H19" s="17" t="s">
        <v>211</v>
      </c>
    </row>
    <row r="20" customFormat="false" ht="15" hidden="false" customHeight="false" outlineLevel="0" collapsed="false">
      <c r="A20" s="29" t="s">
        <v>175</v>
      </c>
      <c r="B20" s="8" t="n">
        <f aca="false">SUM(B16:B19)</f>
        <v>482</v>
      </c>
      <c r="C20" s="8" t="n">
        <f aca="false">SUM(C16:C19)</f>
        <v>860</v>
      </c>
      <c r="D20" s="8" t="n">
        <f aca="false">SUM(D16:D19)</f>
        <v>940</v>
      </c>
      <c r="E20" s="8" t="n">
        <f aca="false">SUM(E16:E19)</f>
        <v>900</v>
      </c>
      <c r="F20" s="8" t="n">
        <f aca="false">SUM(F16:F19)</f>
        <v>1300</v>
      </c>
      <c r="G20" s="32" t="n">
        <f aca="false">E20/F20</f>
        <v>0.692307692307692</v>
      </c>
      <c r="H20" s="30" t="s">
        <v>212</v>
      </c>
    </row>
    <row r="22" customFormat="false" ht="15" hidden="false" customHeight="false" outlineLevel="0" collapsed="false">
      <c r="A22" s="3" t="s">
        <v>213</v>
      </c>
      <c r="B22" s="16" t="n">
        <f aca="false">B5-B4</f>
        <v>70</v>
      </c>
    </row>
    <row r="23" customFormat="false" ht="15" hidden="false" customHeight="false" outlineLevel="0" collapsed="false">
      <c r="A23" s="3" t="s">
        <v>214</v>
      </c>
      <c r="B23" s="33" t="n">
        <f aca="false">B5*(1-B12)*B13</f>
        <v>810</v>
      </c>
    </row>
    <row r="24" customFormat="false" ht="15" hidden="false" customHeight="false" outlineLevel="0" collapsed="false">
      <c r="A24" s="3" t="s">
        <v>215</v>
      </c>
      <c r="B24" s="16" t="n">
        <f aca="false">E19/B10</f>
        <v>330</v>
      </c>
    </row>
    <row r="25" customFormat="false" ht="15" hidden="false" customHeight="false" outlineLevel="0" collapsed="false">
      <c r="A25" s="3" t="s">
        <v>216</v>
      </c>
      <c r="B25" s="16" t="n">
        <f aca="false">C18/B11</f>
        <v>10</v>
      </c>
    </row>
    <row r="26" customFormat="false" ht="15" hidden="false" customHeight="false" outlineLevel="0" collapsed="false">
      <c r="A26" s="3" t="s">
        <v>217</v>
      </c>
      <c r="B26" s="16" t="n">
        <f aca="false">D18/B11</f>
        <v>12</v>
      </c>
    </row>
    <row r="27" customFormat="false" ht="15" hidden="false" customHeight="false" outlineLevel="0" collapsed="false">
      <c r="A27" s="3" t="s">
        <v>218</v>
      </c>
      <c r="B27" s="16" t="n">
        <f aca="false">SUM('Raw Data'!$K$2:$K$114)</f>
        <v>24</v>
      </c>
    </row>
    <row r="28" customFormat="false" ht="15" hidden="false" customHeight="false" outlineLevel="0" collapsed="false">
      <c r="A28" s="3" t="s">
        <v>219</v>
      </c>
      <c r="B28" s="16" t="n">
        <f aca="false">COUNTA(Baskets!$A$2:$A$70)</f>
        <v>69</v>
      </c>
    </row>
    <row r="29" customFormat="false" ht="15" hidden="false" customHeight="false" outlineLevel="0" collapsed="false">
      <c r="A29" s="3" t="s">
        <v>220</v>
      </c>
      <c r="B29" s="25" t="n">
        <f aca="false">SUM(Baskets!$G$2:$G$70)/B28</f>
        <v>6.98550724637681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8" min="4" style="0" width="12"/>
  </cols>
  <sheetData>
    <row r="1" customFormat="false" ht="17.35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30" hidden="false" customHeight="true" outlineLevel="0" collapsed="false">
      <c r="A4" s="7" t="s">
        <v>126</v>
      </c>
      <c r="B4" s="7" t="s">
        <v>223</v>
      </c>
      <c r="C4" s="7" t="s">
        <v>85</v>
      </c>
      <c r="D4" s="7" t="s">
        <v>224</v>
      </c>
      <c r="E4" s="7" t="s">
        <v>128</v>
      </c>
      <c r="F4" s="7" t="s">
        <v>225</v>
      </c>
      <c r="G4" s="7" t="s">
        <v>226</v>
      </c>
      <c r="H4" s="7" t="s">
        <v>84</v>
      </c>
    </row>
    <row r="5" customFormat="false" ht="15" hidden="false" customHeight="false" outlineLevel="0" collapsed="false">
      <c r="A5" s="9" t="s">
        <v>138</v>
      </c>
      <c r="B5" s="17" t="s">
        <v>227</v>
      </c>
      <c r="C5" s="16" t="n">
        <f aca="false">SUMIFS('Raw Data'!$F$2:$F$114,'Raw Data'!$L$2:$L$114,A5)</f>
        <v>64</v>
      </c>
      <c r="D5" s="19" t="n">
        <f aca="false">C5/SUM($C$5:$C$8)</f>
        <v>0.496124031007752</v>
      </c>
      <c r="E5" s="16" t="n">
        <f aca="false">SUMIFS('Raw Data'!$G$2:$G$114,'Raw Data'!$L$2:$L$114,A5)</f>
        <v>220</v>
      </c>
      <c r="F5" s="16" t="n">
        <f aca="false">SUMIFS('Design Ranking'!$C$12:$C$25,'Design Ranking'!$B$12:$B$25,A5,'Design Ranking'!$A$12:$A$25,"&lt;&gt;Oreo")</f>
        <v>53</v>
      </c>
      <c r="G5" s="16" t="n">
        <f aca="false">SUMIFS('Design Ranking'!$E$12:$E$25,'Design Ranking'!$B$12:$B$25,A5,'Design Ranking'!$C$12:$C$25,"&lt;&gt;",'Design Ranking'!$A$12:$A$25,"&lt;&gt;Oreo")</f>
        <v>53</v>
      </c>
      <c r="H5" s="34" t="n">
        <f aca="false">IF(F5=0,"",G5/F5)</f>
        <v>1</v>
      </c>
    </row>
    <row r="6" customFormat="false" ht="15" hidden="false" customHeight="false" outlineLevel="0" collapsed="false">
      <c r="A6" s="9" t="s">
        <v>146</v>
      </c>
      <c r="B6" s="17" t="s">
        <v>228</v>
      </c>
      <c r="C6" s="16" t="n">
        <f aca="false">SUMIFS('Raw Data'!$F$2:$F$114,'Raw Data'!$L$2:$L$114,A6)</f>
        <v>37</v>
      </c>
      <c r="D6" s="19" t="n">
        <f aca="false">C6/SUM($C$5:$C$8)</f>
        <v>0.286821705426357</v>
      </c>
      <c r="E6" s="16" t="n">
        <f aca="false">SUMIFS('Raw Data'!$G$2:$G$114,'Raw Data'!$L$2:$L$114,A6)</f>
        <v>135</v>
      </c>
      <c r="F6" s="16" t="n">
        <f aca="false">SUMIFS('Design Ranking'!$C$12:$C$25,'Design Ranking'!$B$12:$B$25,A6,'Design Ranking'!$A$12:$A$25,"&lt;&gt;Oreo")</f>
        <v>58</v>
      </c>
      <c r="G6" s="16" t="n">
        <f aca="false">SUMIFS('Design Ranking'!$E$12:$E$25,'Design Ranking'!$B$12:$B$25,A6,'Design Ranking'!$C$12:$C$25,"&lt;&gt;",'Design Ranking'!$A$12:$A$25,"&lt;&gt;Oreo")</f>
        <v>36</v>
      </c>
      <c r="H6" s="34" t="n">
        <f aca="false">IF(F6=0,"",G6/F6)</f>
        <v>0.620689655172414</v>
      </c>
    </row>
    <row r="7" customFormat="false" ht="15" hidden="false" customHeight="false" outlineLevel="0" collapsed="false">
      <c r="A7" s="9" t="s">
        <v>143</v>
      </c>
      <c r="B7" s="17" t="s">
        <v>229</v>
      </c>
      <c r="C7" s="16" t="n">
        <f aca="false">SUMIFS('Raw Data'!$F$2:$F$114,'Raw Data'!$L$2:$L$114,A7)</f>
        <v>18</v>
      </c>
      <c r="D7" s="19" t="n">
        <f aca="false">C7/SUM($C$5:$C$8)</f>
        <v>0.13953488372093</v>
      </c>
      <c r="E7" s="16" t="n">
        <f aca="false">SUMIFS('Raw Data'!$G$2:$G$114,'Raw Data'!$L$2:$L$114,A7)</f>
        <v>67</v>
      </c>
      <c r="F7" s="16" t="n">
        <f aca="false">SUMIFS('Design Ranking'!$C$12:$C$25,'Design Ranking'!$B$12:$B$25,A7,'Design Ranking'!$A$12:$A$25,"&lt;&gt;Oreo")</f>
        <v>19</v>
      </c>
      <c r="G7" s="16" t="n">
        <f aca="false">SUMIFS('Design Ranking'!$E$12:$E$25,'Design Ranking'!$B$12:$B$25,A7,'Design Ranking'!$C$12:$C$25,"&lt;&gt;",'Design Ranking'!$A$12:$A$25,"&lt;&gt;Oreo")</f>
        <v>18</v>
      </c>
      <c r="H7" s="34" t="n">
        <f aca="false">IF(F7=0,"",G7/F7)</f>
        <v>0.947368421052632</v>
      </c>
    </row>
    <row r="8" customFormat="false" ht="15" hidden="false" customHeight="false" outlineLevel="0" collapsed="false">
      <c r="A8" s="9" t="s">
        <v>154</v>
      </c>
      <c r="B8" s="17" t="s">
        <v>230</v>
      </c>
      <c r="C8" s="16" t="n">
        <f aca="false">SUMIFS('Raw Data'!$F$2:$F$114,'Raw Data'!$L$2:$L$114,A8)</f>
        <v>10</v>
      </c>
      <c r="D8" s="19" t="n">
        <f aca="false">C8/SUM($C$5:$C$8)</f>
        <v>0.0775193798449612</v>
      </c>
      <c r="E8" s="16" t="n">
        <f aca="false">SUMIFS('Raw Data'!$G$2:$G$114,'Raw Data'!$L$2:$L$114,A8)</f>
        <v>33</v>
      </c>
      <c r="F8" s="16" t="n">
        <f aca="false">SUMIFS('Design Ranking'!$C$12:$C$25,'Design Ranking'!$B$12:$B$25,A8,'Design Ranking'!$A$12:$A$25,"&lt;&gt;Oreo")</f>
        <v>19</v>
      </c>
      <c r="G8" s="16" t="n">
        <f aca="false">SUMIFS('Design Ranking'!$E$12:$E$25,'Design Ranking'!$B$12:$B$25,A8,'Design Ranking'!$C$12:$C$25,"&lt;&gt;",'Design Ranking'!$A$12:$A$25,"&lt;&gt;Oreo")</f>
        <v>10</v>
      </c>
      <c r="H8" s="34" t="n">
        <f aca="false">IF(F8=0,"",G8/F8)</f>
        <v>0.526315789473684</v>
      </c>
    </row>
    <row r="9" customFormat="false" ht="15" hidden="false" customHeight="false" outlineLevel="0" collapsed="false">
      <c r="A9" s="15" t="s">
        <v>231</v>
      </c>
    </row>
    <row r="12" customFormat="false" ht="15" hidden="false" customHeight="false" outlineLevel="0" collapsed="false">
      <c r="A12" s="3" t="s">
        <v>232</v>
      </c>
    </row>
    <row r="13" customFormat="false" ht="15" hidden="false" customHeight="false" outlineLevel="0" collapsed="false">
      <c r="A13" s="7" t="s">
        <v>233</v>
      </c>
      <c r="B13" s="7" t="s">
        <v>92</v>
      </c>
    </row>
    <row r="14" customFormat="false" ht="15" hidden="false" customHeight="false" outlineLevel="0" collapsed="false">
      <c r="A14" s="17" t="s">
        <v>234</v>
      </c>
      <c r="B14" s="16" t="n">
        <f aca="false">COUNTIF(Baskets!$J$2:$J$70,1)</f>
        <v>39</v>
      </c>
    </row>
    <row r="15" customFormat="false" ht="15" hidden="false" customHeight="false" outlineLevel="0" collapsed="false">
      <c r="A15" s="17" t="s">
        <v>235</v>
      </c>
      <c r="B15" s="16" t="n">
        <f aca="false">COUNTIFS(Baskets!$J$2:$J$70,"&gt;1",Baskets!$K$2:$K$70,1)</f>
        <v>7</v>
      </c>
    </row>
    <row r="16" customFormat="false" ht="15" hidden="false" customHeight="false" outlineLevel="0" collapsed="false">
      <c r="A16" s="17" t="s">
        <v>236</v>
      </c>
      <c r="B16" s="16" t="n">
        <f aca="false">COUNTIFS(Baskets!$J$2:$J$70,"&gt;1",Baskets!$K$2:$K$70,"&gt;1")</f>
        <v>23</v>
      </c>
    </row>
    <row r="19" customFormat="false" ht="15" hidden="false" customHeight="false" outlineLevel="0" collapsed="false">
      <c r="A19" s="3" t="s">
        <v>237</v>
      </c>
    </row>
    <row r="20" customFormat="false" ht="23.85" hidden="false" customHeight="false" outlineLevel="0" collapsed="false">
      <c r="A20" s="7"/>
      <c r="B20" s="7" t="s">
        <v>138</v>
      </c>
      <c r="C20" s="7" t="s">
        <v>146</v>
      </c>
      <c r="D20" s="7" t="s">
        <v>143</v>
      </c>
      <c r="E20" s="7" t="s">
        <v>154</v>
      </c>
      <c r="F20" s="7" t="s">
        <v>65</v>
      </c>
    </row>
    <row r="21" customFormat="false" ht="15" hidden="false" customHeight="false" outlineLevel="0" collapsed="false">
      <c r="A21" s="9" t="s">
        <v>138</v>
      </c>
      <c r="B21" s="35" t="n">
        <f aca="false">SUMPRODUCT((Baskets!$L$2:$L$70&gt;0)*(Baskets!$L$2:$L$70&gt;0))</f>
        <v>38</v>
      </c>
      <c r="C21" s="16" t="n">
        <f aca="false">SUMPRODUCT((Baskets!$L$2:$L$70&gt;0)*(Baskets!$M$2:$M$70&gt;0))</f>
        <v>12</v>
      </c>
      <c r="D21" s="16" t="n">
        <f aca="false">SUMPRODUCT((Baskets!$L$2:$L$70&gt;0)*(Baskets!$N$2:$N$70&gt;0))</f>
        <v>5</v>
      </c>
      <c r="E21" s="16" t="n">
        <f aca="false">SUMPRODUCT((Baskets!$L$2:$L$70&gt;0)*(Baskets!$O$2:$O$70&gt;0))</f>
        <v>5</v>
      </c>
      <c r="F21" s="16" t="n">
        <f aca="false">SUMPRODUCT((Baskets!$L$2:$L$70&gt;0)*(Baskets!$P$2:$P$70&gt;0))</f>
        <v>0</v>
      </c>
    </row>
    <row r="22" customFormat="false" ht="15" hidden="false" customHeight="false" outlineLevel="0" collapsed="false">
      <c r="A22" s="9" t="s">
        <v>146</v>
      </c>
      <c r="B22" s="16" t="n">
        <f aca="false">SUMPRODUCT((Baskets!$M$2:$M$70&gt;0)*(Baskets!$L$2:$L$70&gt;0))</f>
        <v>12</v>
      </c>
      <c r="C22" s="35" t="n">
        <f aca="false">SUMPRODUCT((Baskets!$M$2:$M$70&gt;0)*(Baskets!$M$2:$M$70&gt;0))</f>
        <v>30</v>
      </c>
      <c r="D22" s="16" t="n">
        <f aca="false">SUMPRODUCT((Baskets!$M$2:$M$70&gt;0)*(Baskets!$N$2:$N$70&gt;0))</f>
        <v>5</v>
      </c>
      <c r="E22" s="16" t="n">
        <f aca="false">SUMPRODUCT((Baskets!$M$2:$M$70&gt;0)*(Baskets!$O$2:$O$70&gt;0))</f>
        <v>5</v>
      </c>
      <c r="F22" s="16" t="n">
        <f aca="false">SUMPRODUCT((Baskets!$M$2:$M$70&gt;0)*(Baskets!$P$2:$P$70&gt;0))</f>
        <v>0</v>
      </c>
    </row>
    <row r="23" customFormat="false" ht="15" hidden="false" customHeight="false" outlineLevel="0" collapsed="false">
      <c r="A23" s="9" t="s">
        <v>143</v>
      </c>
      <c r="B23" s="16" t="n">
        <f aca="false">SUMPRODUCT((Baskets!$N$2:$N$70&gt;0)*(Baskets!$L$2:$L$70&gt;0))</f>
        <v>5</v>
      </c>
      <c r="C23" s="16" t="n">
        <f aca="false">SUMPRODUCT((Baskets!$N$2:$N$70&gt;0)*(Baskets!$M$2:$M$70&gt;0))</f>
        <v>5</v>
      </c>
      <c r="D23" s="35" t="n">
        <f aca="false">SUMPRODUCT((Baskets!$N$2:$N$70&gt;0)*(Baskets!$N$2:$N$70&gt;0))</f>
        <v>15</v>
      </c>
      <c r="E23" s="16" t="n">
        <f aca="false">SUMPRODUCT((Baskets!$N$2:$N$70&gt;0)*(Baskets!$O$2:$O$70&gt;0))</f>
        <v>1</v>
      </c>
      <c r="F23" s="16" t="n">
        <f aca="false">SUMPRODUCT((Baskets!$N$2:$N$70&gt;0)*(Baskets!$P$2:$P$70&gt;0))</f>
        <v>0</v>
      </c>
    </row>
    <row r="24" customFormat="false" ht="15" hidden="false" customHeight="false" outlineLevel="0" collapsed="false">
      <c r="A24" s="9" t="s">
        <v>154</v>
      </c>
      <c r="B24" s="16" t="n">
        <f aca="false">SUMPRODUCT((Baskets!$O$2:$O$70&gt;0)*(Baskets!$L$2:$L$70&gt;0))</f>
        <v>5</v>
      </c>
      <c r="C24" s="16" t="n">
        <f aca="false">SUMPRODUCT((Baskets!$O$2:$O$70&gt;0)*(Baskets!$M$2:$M$70&gt;0))</f>
        <v>5</v>
      </c>
      <c r="D24" s="16" t="n">
        <f aca="false">SUMPRODUCT((Baskets!$O$2:$O$70&gt;0)*(Baskets!$N$2:$N$70&gt;0))</f>
        <v>1</v>
      </c>
      <c r="E24" s="35" t="n">
        <f aca="false">SUMPRODUCT((Baskets!$O$2:$O$70&gt;0)*(Baskets!$O$2:$O$70&gt;0))</f>
        <v>9</v>
      </c>
      <c r="F24" s="16" t="n">
        <f aca="false">SUMPRODUCT((Baskets!$O$2:$O$70&gt;0)*(Baskets!$P$2:$P$70&gt;0))</f>
        <v>0</v>
      </c>
    </row>
    <row r="25" customFormat="false" ht="15" hidden="false" customHeight="false" outlineLevel="0" collapsed="false">
      <c r="A25" s="9" t="s">
        <v>65</v>
      </c>
      <c r="B25" s="16" t="n">
        <f aca="false">SUMPRODUCT((Baskets!$P$2:$P$70&gt;0)*(Baskets!$L$2:$L$70&gt;0))</f>
        <v>0</v>
      </c>
      <c r="C25" s="16" t="n">
        <f aca="false">SUMPRODUCT((Baskets!$P$2:$P$70&gt;0)*(Baskets!$M$2:$M$70&gt;0))</f>
        <v>0</v>
      </c>
      <c r="D25" s="16" t="n">
        <f aca="false">SUMPRODUCT((Baskets!$P$2:$P$70&gt;0)*(Baskets!$N$2:$N$70&gt;0))</f>
        <v>0</v>
      </c>
      <c r="E25" s="16" t="n">
        <f aca="false">SUMPRODUCT((Baskets!$P$2:$P$70&gt;0)*(Baskets!$O$2:$O$70&gt;0))</f>
        <v>0</v>
      </c>
      <c r="F25" s="35" t="n">
        <f aca="false">SUMPRODUCT((Baskets!$P$2:$P$70&gt;0)*(Baskets!$P$2:$P$70&gt;0))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17" min="3" style="0" width="9"/>
  </cols>
  <sheetData>
    <row r="1" customFormat="false" ht="17.3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15" hidden="false" customHeight="false" outlineLevel="0" collapsed="false">
      <c r="A4" s="3" t="s">
        <v>240</v>
      </c>
    </row>
    <row r="5" customFormat="false" ht="23.85" hidden="false" customHeight="false" outlineLevel="0" collapsed="false">
      <c r="A5" s="7" t="s">
        <v>241</v>
      </c>
      <c r="B5" s="7" t="s">
        <v>242</v>
      </c>
      <c r="C5" s="7" t="s">
        <v>243</v>
      </c>
    </row>
    <row r="6" customFormat="false" ht="15" hidden="false" customHeight="false" outlineLevel="0" collapsed="false">
      <c r="A6" s="17" t="s">
        <v>145</v>
      </c>
      <c r="B6" s="17" t="s">
        <v>137</v>
      </c>
      <c r="C6" s="16" t="n">
        <f aca="false">SUMPRODUCT((Baskets!$U$2:$U$70&gt;0)*(Baskets!$V$2:$V$70&gt;0))</f>
        <v>4</v>
      </c>
    </row>
    <row r="7" customFormat="false" ht="15" hidden="false" customHeight="false" outlineLevel="0" collapsed="false">
      <c r="A7" s="17" t="s">
        <v>142</v>
      </c>
      <c r="B7" s="17" t="s">
        <v>137</v>
      </c>
      <c r="C7" s="16" t="n">
        <f aca="false">SUMPRODUCT((Baskets!$W$2:$W$70&gt;0)*(Baskets!$V$2:$V$70&gt;0))</f>
        <v>3</v>
      </c>
    </row>
    <row r="8" customFormat="false" ht="15" hidden="false" customHeight="false" outlineLevel="0" collapsed="false">
      <c r="A8" s="17" t="s">
        <v>145</v>
      </c>
      <c r="B8" s="17" t="s">
        <v>148</v>
      </c>
      <c r="C8" s="16" t="n">
        <f aca="false">SUMPRODUCT((Baskets!$U$2:$U$70&gt;0)*(Baskets!$Q$2:$Q$70&gt;0))</f>
        <v>3</v>
      </c>
    </row>
    <row r="9" customFormat="false" ht="15" hidden="false" customHeight="false" outlineLevel="0" collapsed="false">
      <c r="A9" s="17" t="s">
        <v>137</v>
      </c>
      <c r="B9" s="17" t="s">
        <v>148</v>
      </c>
      <c r="C9" s="16" t="n">
        <f aca="false">SUMPRODUCT((Baskets!$V$2:$V$70&gt;0)*(Baskets!$Q$2:$Q$70&gt;0))</f>
        <v>3</v>
      </c>
    </row>
    <row r="10" customFormat="false" ht="15" hidden="false" customHeight="false" outlineLevel="0" collapsed="false">
      <c r="A10" s="17" t="s">
        <v>137</v>
      </c>
      <c r="B10" s="17" t="s">
        <v>156</v>
      </c>
      <c r="C10" s="16" t="n">
        <f aca="false">SUMPRODUCT((Baskets!$V$2:$V$70&gt;0)*(Baskets!$Y$2:$Y$70&gt;0))</f>
        <v>2</v>
      </c>
    </row>
    <row r="11" customFormat="false" ht="15" hidden="false" customHeight="false" outlineLevel="0" collapsed="false">
      <c r="A11" s="17" t="s">
        <v>137</v>
      </c>
      <c r="B11" s="17" t="s">
        <v>153</v>
      </c>
      <c r="C11" s="16" t="n">
        <f aca="false">SUMPRODUCT((Baskets!$V$2:$V$70&gt;0)*(Baskets!$AB$2:$AB$70&gt;0))</f>
        <v>2</v>
      </c>
    </row>
    <row r="12" customFormat="false" ht="15" hidden="false" customHeight="false" outlineLevel="0" collapsed="false">
      <c r="A12" s="17" t="s">
        <v>150</v>
      </c>
      <c r="B12" s="17" t="s">
        <v>142</v>
      </c>
      <c r="C12" s="16" t="n">
        <f aca="false">SUMPRODUCT((Baskets!$T$2:$T$70&gt;0)*(Baskets!$W$2:$W$70&gt;0))</f>
        <v>2</v>
      </c>
    </row>
    <row r="13" customFormat="false" ht="15" hidden="false" customHeight="false" outlineLevel="0" collapsed="false">
      <c r="A13" s="17" t="s">
        <v>150</v>
      </c>
      <c r="B13" s="17" t="s">
        <v>140</v>
      </c>
      <c r="C13" s="16" t="n">
        <f aca="false">SUMPRODUCT((Baskets!$T$2:$T$70&gt;0)*(Baskets!$Z$2:$Z$70&gt;0))</f>
        <v>2</v>
      </c>
    </row>
    <row r="14" customFormat="false" ht="15" hidden="false" customHeight="false" outlineLevel="0" collapsed="false">
      <c r="A14" s="17" t="s">
        <v>140</v>
      </c>
      <c r="B14" s="17" t="s">
        <v>156</v>
      </c>
      <c r="C14" s="16" t="n">
        <f aca="false">SUMPRODUCT((Baskets!$Z$2:$Z$70&gt;0)*(Baskets!$Y$2:$Y$70&gt;0))</f>
        <v>2</v>
      </c>
    </row>
    <row r="15" customFormat="false" ht="15" hidden="false" customHeight="false" outlineLevel="0" collapsed="false">
      <c r="A15" s="17" t="s">
        <v>151</v>
      </c>
      <c r="B15" s="17" t="s">
        <v>153</v>
      </c>
      <c r="C15" s="16" t="n">
        <f aca="false">SUMPRODUCT((Baskets!$R$2:$R$70&gt;0)*(Baskets!$AB$2:$AB$70&gt;0))</f>
        <v>2</v>
      </c>
    </row>
    <row r="16" customFormat="false" ht="15" hidden="false" customHeight="false" outlineLevel="0" collapsed="false">
      <c r="A16" s="17" t="s">
        <v>145</v>
      </c>
      <c r="B16" s="17" t="s">
        <v>140</v>
      </c>
      <c r="C16" s="16" t="n">
        <f aca="false">SUMPRODUCT((Baskets!$U$2:$U$70&gt;0)*(Baskets!$Z$2:$Z$70&gt;0))</f>
        <v>2</v>
      </c>
    </row>
    <row r="17" customFormat="false" ht="15" hidden="false" customHeight="false" outlineLevel="0" collapsed="false">
      <c r="A17" s="17" t="s">
        <v>159</v>
      </c>
      <c r="B17" s="17" t="s">
        <v>140</v>
      </c>
      <c r="C17" s="16" t="n">
        <f aca="false">SUMPRODUCT((Baskets!$AA$2:$AA$70&gt;0)*(Baskets!$Z$2:$Z$70&gt;0))</f>
        <v>2</v>
      </c>
    </row>
    <row r="18" customFormat="false" ht="15" hidden="false" customHeight="false" outlineLevel="0" collapsed="false">
      <c r="A18" s="17" t="s">
        <v>142</v>
      </c>
      <c r="B18" s="17" t="s">
        <v>151</v>
      </c>
      <c r="C18" s="16" t="n">
        <f aca="false">SUMPRODUCT((Baskets!$W$2:$W$70&gt;0)*(Baskets!$R$2:$R$70&gt;0))</f>
        <v>2</v>
      </c>
    </row>
    <row r="19" customFormat="false" ht="15" hidden="false" customHeight="false" outlineLevel="0" collapsed="false">
      <c r="A19" s="17" t="s">
        <v>137</v>
      </c>
      <c r="B19" s="17" t="s">
        <v>151</v>
      </c>
      <c r="C19" s="16" t="n">
        <f aca="false">SUMPRODUCT((Baskets!$V$2:$V$70&gt;0)*(Baskets!$R$2:$R$70&gt;0))</f>
        <v>2</v>
      </c>
    </row>
    <row r="20" customFormat="false" ht="15" hidden="false" customHeight="false" outlineLevel="0" collapsed="false">
      <c r="A20" s="17" t="s">
        <v>150</v>
      </c>
      <c r="B20" s="17" t="s">
        <v>151</v>
      </c>
      <c r="C20" s="16" t="n">
        <f aca="false">SUMPRODUCT((Baskets!$T$2:$T$70&gt;0)*(Baskets!$R$2:$R$70&gt;0))</f>
        <v>2</v>
      </c>
    </row>
    <row r="21" customFormat="false" ht="15" hidden="false" customHeight="false" outlineLevel="0" collapsed="false">
      <c r="A21" s="17" t="s">
        <v>137</v>
      </c>
      <c r="B21" s="17" t="s">
        <v>140</v>
      </c>
      <c r="C21" s="16" t="n">
        <f aca="false">SUMPRODUCT((Baskets!$V$2:$V$70&gt;0)*(Baskets!$Z$2:$Z$70&gt;0))</f>
        <v>2</v>
      </c>
    </row>
    <row r="22" customFormat="false" ht="15" hidden="false" customHeight="false" outlineLevel="0" collapsed="false">
      <c r="A22" s="17" t="s">
        <v>145</v>
      </c>
      <c r="B22" s="17" t="s">
        <v>151</v>
      </c>
      <c r="C22" s="16" t="n">
        <f aca="false">SUMPRODUCT((Baskets!$U$2:$U$70&gt;0)*(Baskets!$R$2:$R$70&gt;0))</f>
        <v>2</v>
      </c>
    </row>
    <row r="23" customFormat="false" ht="15" hidden="false" customHeight="false" outlineLevel="0" collapsed="false">
      <c r="A23" s="17" t="s">
        <v>148</v>
      </c>
      <c r="B23" s="17" t="s">
        <v>140</v>
      </c>
      <c r="C23" s="16" t="n">
        <f aca="false">SUMPRODUCT((Baskets!$Q$2:$Q$70&gt;0)*(Baskets!$Z$2:$Z$70&gt;0))</f>
        <v>2</v>
      </c>
    </row>
    <row r="25" customFormat="false" ht="15" hidden="false" customHeight="false" outlineLevel="0" collapsed="false">
      <c r="A25" s="15" t="s">
        <v>244</v>
      </c>
    </row>
    <row r="27" customFormat="false" ht="15" hidden="false" customHeight="false" outlineLevel="0" collapsed="false">
      <c r="A27" s="3" t="s">
        <v>245</v>
      </c>
    </row>
    <row r="28" customFormat="false" ht="45" hidden="false" customHeight="true" outlineLevel="0" collapsed="false">
      <c r="A28" s="7"/>
      <c r="B28" s="7" t="s">
        <v>137</v>
      </c>
      <c r="C28" s="7" t="s">
        <v>140</v>
      </c>
      <c r="D28" s="7" t="s">
        <v>142</v>
      </c>
      <c r="E28" s="7" t="s">
        <v>145</v>
      </c>
      <c r="F28" s="7" t="s">
        <v>148</v>
      </c>
      <c r="G28" s="7" t="s">
        <v>150</v>
      </c>
      <c r="H28" s="7" t="s">
        <v>151</v>
      </c>
      <c r="I28" s="7" t="s">
        <v>153</v>
      </c>
      <c r="J28" s="7" t="s">
        <v>155</v>
      </c>
      <c r="K28" s="7" t="s">
        <v>156</v>
      </c>
      <c r="L28" s="7" t="s">
        <v>158</v>
      </c>
      <c r="M28" s="7" t="s">
        <v>159</v>
      </c>
      <c r="N28" s="7" t="s">
        <v>163</v>
      </c>
      <c r="O28" s="7" t="s">
        <v>246</v>
      </c>
      <c r="P28" s="7" t="s">
        <v>247</v>
      </c>
    </row>
    <row r="29" customFormat="false" ht="15" hidden="false" customHeight="false" outlineLevel="0" collapsed="false">
      <c r="A29" s="9" t="s">
        <v>137</v>
      </c>
      <c r="B29" s="36" t="n">
        <f aca="false">SUMPRODUCT((Baskets!$V$2:$V$70&gt;0)*(Baskets!$V$2:$V$70&gt;0))</f>
        <v>16</v>
      </c>
      <c r="C29" s="37" t="n">
        <f aca="false">SUMPRODUCT((Baskets!$V$2:$V$70&gt;0)*(Baskets!$Z$2:$Z$70&gt;0))</f>
        <v>2</v>
      </c>
      <c r="D29" s="37" t="n">
        <f aca="false">SUMPRODUCT((Baskets!$V$2:$V$70&gt;0)*(Baskets!$W$2:$W$70&gt;0))</f>
        <v>3</v>
      </c>
      <c r="E29" s="37" t="n">
        <f aca="false">SUMPRODUCT((Baskets!$V$2:$V$70&gt;0)*(Baskets!$U$2:$U$70&gt;0))</f>
        <v>4</v>
      </c>
      <c r="F29" s="37" t="n">
        <f aca="false">SUMPRODUCT((Baskets!$V$2:$V$70&gt;0)*(Baskets!$Q$2:$Q$70&gt;0))</f>
        <v>3</v>
      </c>
      <c r="G29" s="37" t="n">
        <f aca="false">SUMPRODUCT((Baskets!$V$2:$V$70&gt;0)*(Baskets!$T$2:$T$70&gt;0))</f>
        <v>0</v>
      </c>
      <c r="H29" s="37" t="n">
        <f aca="false">SUMPRODUCT((Baskets!$V$2:$V$70&gt;0)*(Baskets!$R$2:$R$70&gt;0))</f>
        <v>2</v>
      </c>
      <c r="I29" s="37" t="n">
        <f aca="false">SUMPRODUCT((Baskets!$V$2:$V$70&gt;0)*(Baskets!$AB$2:$AB$70&gt;0))</f>
        <v>2</v>
      </c>
      <c r="J29" s="37" t="n">
        <f aca="false">SUMPRODUCT((Baskets!$V$2:$V$70&gt;0)*(Baskets!$AC$2:$AC$70&gt;0))</f>
        <v>1</v>
      </c>
      <c r="K29" s="37" t="n">
        <f aca="false">SUMPRODUCT((Baskets!$V$2:$V$70&gt;0)*(Baskets!$Y$2:$Y$70&gt;0))</f>
        <v>2</v>
      </c>
      <c r="L29" s="37" t="n">
        <f aca="false">SUMPRODUCT((Baskets!$V$2:$V$70&gt;0)*(Baskets!$S$2:$S$70&gt;0))</f>
        <v>0</v>
      </c>
      <c r="M29" s="37" t="n">
        <f aca="false">SUMPRODUCT((Baskets!$V$2:$V$70&gt;0)*(Baskets!$AA$2:$AA$70&gt;0))</f>
        <v>0</v>
      </c>
      <c r="N29" s="37" t="n">
        <f aca="false">SUMPRODUCT((Baskets!$V$2:$V$70&gt;0)*(Baskets!$AD$2:$AD$70&gt;0))</f>
        <v>0</v>
      </c>
      <c r="O29" s="37" t="n">
        <f aca="false">SUMPRODUCT((Baskets!$V$2:$V$70&gt;0)*(Baskets!$AE$2:$AE$70&gt;0))</f>
        <v>0</v>
      </c>
      <c r="P29" s="37" t="n">
        <f aca="false">SUMPRODUCT((Baskets!$V$2:$V$70&gt;0)*(Baskets!$AF$2:$AF$70&gt;0))</f>
        <v>0</v>
      </c>
    </row>
    <row r="30" customFormat="false" ht="15" hidden="false" customHeight="false" outlineLevel="0" collapsed="false">
      <c r="A30" s="9" t="s">
        <v>140</v>
      </c>
      <c r="B30" s="37" t="n">
        <f aca="false">SUMPRODUCT((Baskets!$Z$2:$Z$70&gt;0)*(Baskets!$V$2:$V$70&gt;0))</f>
        <v>2</v>
      </c>
      <c r="C30" s="36" t="n">
        <f aca="false">SUMPRODUCT((Baskets!$Z$2:$Z$70&gt;0)*(Baskets!$Z$2:$Z$70&gt;0))</f>
        <v>18</v>
      </c>
      <c r="D30" s="37" t="n">
        <f aca="false">SUMPRODUCT((Baskets!$Z$2:$Z$70&gt;0)*(Baskets!$W$2:$W$70&gt;0))</f>
        <v>1</v>
      </c>
      <c r="E30" s="37" t="n">
        <f aca="false">SUMPRODUCT((Baskets!$Z$2:$Z$70&gt;0)*(Baskets!$U$2:$U$70&gt;0))</f>
        <v>2</v>
      </c>
      <c r="F30" s="37" t="n">
        <f aca="false">SUMPRODUCT((Baskets!$Z$2:$Z$70&gt;0)*(Baskets!$Q$2:$Q$70&gt;0))</f>
        <v>2</v>
      </c>
      <c r="G30" s="37" t="n">
        <f aca="false">SUMPRODUCT((Baskets!$Z$2:$Z$70&gt;0)*(Baskets!$T$2:$T$70&gt;0))</f>
        <v>2</v>
      </c>
      <c r="H30" s="37" t="n">
        <f aca="false">SUMPRODUCT((Baskets!$Z$2:$Z$70&gt;0)*(Baskets!$R$2:$R$70&gt;0))</f>
        <v>0</v>
      </c>
      <c r="I30" s="37" t="n">
        <f aca="false">SUMPRODUCT((Baskets!$Z$2:$Z$70&gt;0)*(Baskets!$AB$2:$AB$70&gt;0))</f>
        <v>0</v>
      </c>
      <c r="J30" s="37" t="n">
        <f aca="false">SUMPRODUCT((Baskets!$Z$2:$Z$70&gt;0)*(Baskets!$AC$2:$AC$70&gt;0))</f>
        <v>1</v>
      </c>
      <c r="K30" s="37" t="n">
        <f aca="false">SUMPRODUCT((Baskets!$Z$2:$Z$70&gt;0)*(Baskets!$Y$2:$Y$70&gt;0))</f>
        <v>2</v>
      </c>
      <c r="L30" s="37" t="n">
        <f aca="false">SUMPRODUCT((Baskets!$Z$2:$Z$70&gt;0)*(Baskets!$S$2:$S$70&gt;0))</f>
        <v>1</v>
      </c>
      <c r="M30" s="37" t="n">
        <f aca="false">SUMPRODUCT((Baskets!$Z$2:$Z$70&gt;0)*(Baskets!$AA$2:$AA$70&gt;0))</f>
        <v>2</v>
      </c>
      <c r="N30" s="37" t="n">
        <f aca="false">SUMPRODUCT((Baskets!$Z$2:$Z$70&gt;0)*(Baskets!$AD$2:$AD$70&gt;0))</f>
        <v>1</v>
      </c>
      <c r="O30" s="37" t="n">
        <f aca="false">SUMPRODUCT((Baskets!$Z$2:$Z$70&gt;0)*(Baskets!$AE$2:$AE$70&gt;0))</f>
        <v>0</v>
      </c>
      <c r="P30" s="37" t="n">
        <f aca="false">SUMPRODUCT((Baskets!$Z$2:$Z$70&gt;0)*(Baskets!$AF$2:$AF$70&gt;0))</f>
        <v>0</v>
      </c>
    </row>
    <row r="31" customFormat="false" ht="15" hidden="false" customHeight="false" outlineLevel="0" collapsed="false">
      <c r="A31" s="9" t="s">
        <v>142</v>
      </c>
      <c r="B31" s="37" t="n">
        <f aca="false">SUMPRODUCT((Baskets!$W$2:$W$70&gt;0)*(Baskets!$V$2:$V$70&gt;0))</f>
        <v>3</v>
      </c>
      <c r="C31" s="37" t="n">
        <f aca="false">SUMPRODUCT((Baskets!$W$2:$W$70&gt;0)*(Baskets!$Z$2:$Z$70&gt;0))</f>
        <v>1</v>
      </c>
      <c r="D31" s="36" t="n">
        <f aca="false">SUMPRODUCT((Baskets!$W$2:$W$70&gt;0)*(Baskets!$W$2:$W$70&gt;0))</f>
        <v>10</v>
      </c>
      <c r="E31" s="37" t="n">
        <f aca="false">SUMPRODUCT((Baskets!$W$2:$W$70&gt;0)*(Baskets!$U$2:$U$70&gt;0))</f>
        <v>0</v>
      </c>
      <c r="F31" s="37" t="n">
        <f aca="false">SUMPRODUCT((Baskets!$W$2:$W$70&gt;0)*(Baskets!$Q$2:$Q$70&gt;0))</f>
        <v>0</v>
      </c>
      <c r="G31" s="37" t="n">
        <f aca="false">SUMPRODUCT((Baskets!$W$2:$W$70&gt;0)*(Baskets!$T$2:$T$70&gt;0))</f>
        <v>2</v>
      </c>
      <c r="H31" s="37" t="n">
        <f aca="false">SUMPRODUCT((Baskets!$W$2:$W$70&gt;0)*(Baskets!$R$2:$R$70&gt;0))</f>
        <v>2</v>
      </c>
      <c r="I31" s="37" t="n">
        <f aca="false">SUMPRODUCT((Baskets!$W$2:$W$70&gt;0)*(Baskets!$AB$2:$AB$70&gt;0))</f>
        <v>0</v>
      </c>
      <c r="J31" s="37" t="n">
        <f aca="false">SUMPRODUCT((Baskets!$W$2:$W$70&gt;0)*(Baskets!$AC$2:$AC$70&gt;0))</f>
        <v>1</v>
      </c>
      <c r="K31" s="37" t="n">
        <f aca="false">SUMPRODUCT((Baskets!$W$2:$W$70&gt;0)*(Baskets!$Y$2:$Y$70&gt;0))</f>
        <v>0</v>
      </c>
      <c r="L31" s="37" t="n">
        <f aca="false">SUMPRODUCT((Baskets!$W$2:$W$70&gt;0)*(Baskets!$S$2:$S$70&gt;0))</f>
        <v>0</v>
      </c>
      <c r="M31" s="37" t="n">
        <f aca="false">SUMPRODUCT((Baskets!$W$2:$W$70&gt;0)*(Baskets!$AA$2:$AA$70&gt;0))</f>
        <v>0</v>
      </c>
      <c r="N31" s="37" t="n">
        <f aca="false">SUMPRODUCT((Baskets!$W$2:$W$70&gt;0)*(Baskets!$AD$2:$AD$70&gt;0))</f>
        <v>0</v>
      </c>
      <c r="O31" s="37" t="n">
        <f aca="false">SUMPRODUCT((Baskets!$W$2:$W$70&gt;0)*(Baskets!$AE$2:$AE$70&gt;0))</f>
        <v>0</v>
      </c>
      <c r="P31" s="37" t="n">
        <f aca="false">SUMPRODUCT((Baskets!$W$2:$W$70&gt;0)*(Baskets!$AF$2:$AF$70&gt;0))</f>
        <v>0</v>
      </c>
    </row>
    <row r="32" customFormat="false" ht="15" hidden="false" customHeight="false" outlineLevel="0" collapsed="false">
      <c r="A32" s="9" t="s">
        <v>145</v>
      </c>
      <c r="B32" s="37" t="n">
        <f aca="false">SUMPRODUCT((Baskets!$U$2:$U$70&gt;0)*(Baskets!$V$2:$V$70&gt;0))</f>
        <v>4</v>
      </c>
      <c r="C32" s="37" t="n">
        <f aca="false">SUMPRODUCT((Baskets!$U$2:$U$70&gt;0)*(Baskets!$Z$2:$Z$70&gt;0))</f>
        <v>2</v>
      </c>
      <c r="D32" s="37" t="n">
        <f aca="false">SUMPRODUCT((Baskets!$U$2:$U$70&gt;0)*(Baskets!$W$2:$W$70&gt;0))</f>
        <v>0</v>
      </c>
      <c r="E32" s="36" t="n">
        <f aca="false">SUMPRODUCT((Baskets!$U$2:$U$70&gt;0)*(Baskets!$U$2:$U$70&gt;0))</f>
        <v>10</v>
      </c>
      <c r="F32" s="37" t="n">
        <f aca="false">SUMPRODUCT((Baskets!$U$2:$U$70&gt;0)*(Baskets!$Q$2:$Q$70&gt;0))</f>
        <v>3</v>
      </c>
      <c r="G32" s="37" t="n">
        <f aca="false">SUMPRODUCT((Baskets!$U$2:$U$70&gt;0)*(Baskets!$T$2:$T$70&gt;0))</f>
        <v>0</v>
      </c>
      <c r="H32" s="37" t="n">
        <f aca="false">SUMPRODUCT((Baskets!$U$2:$U$70&gt;0)*(Baskets!$R$2:$R$70&gt;0))</f>
        <v>2</v>
      </c>
      <c r="I32" s="37" t="n">
        <f aca="false">SUMPRODUCT((Baskets!$U$2:$U$70&gt;0)*(Baskets!$AB$2:$AB$70&gt;0))</f>
        <v>0</v>
      </c>
      <c r="J32" s="37" t="n">
        <f aca="false">SUMPRODUCT((Baskets!$U$2:$U$70&gt;0)*(Baskets!$AC$2:$AC$70&gt;0))</f>
        <v>1</v>
      </c>
      <c r="K32" s="37" t="n">
        <f aca="false">SUMPRODUCT((Baskets!$U$2:$U$70&gt;0)*(Baskets!$Y$2:$Y$70&gt;0))</f>
        <v>1</v>
      </c>
      <c r="L32" s="37" t="n">
        <f aca="false">SUMPRODUCT((Baskets!$U$2:$U$70&gt;0)*(Baskets!$S$2:$S$70&gt;0))</f>
        <v>0</v>
      </c>
      <c r="M32" s="37" t="n">
        <f aca="false">SUMPRODUCT((Baskets!$U$2:$U$70&gt;0)*(Baskets!$AA$2:$AA$70&gt;0))</f>
        <v>1</v>
      </c>
      <c r="N32" s="37" t="n">
        <f aca="false">SUMPRODUCT((Baskets!$U$2:$U$70&gt;0)*(Baskets!$AD$2:$AD$70&gt;0))</f>
        <v>0</v>
      </c>
      <c r="O32" s="37" t="n">
        <f aca="false">SUMPRODUCT((Baskets!$U$2:$U$70&gt;0)*(Baskets!$AE$2:$AE$70&gt;0))</f>
        <v>0</v>
      </c>
      <c r="P32" s="37" t="n">
        <f aca="false">SUMPRODUCT((Baskets!$U$2:$U$70&gt;0)*(Baskets!$AF$2:$AF$70&gt;0))</f>
        <v>0</v>
      </c>
    </row>
    <row r="33" customFormat="false" ht="15" hidden="false" customHeight="false" outlineLevel="0" collapsed="false">
      <c r="A33" s="9" t="s">
        <v>148</v>
      </c>
      <c r="B33" s="37" t="n">
        <f aca="false">SUMPRODUCT((Baskets!$Q$2:$Q$70&gt;0)*(Baskets!$V$2:$V$70&gt;0))</f>
        <v>3</v>
      </c>
      <c r="C33" s="37" t="n">
        <f aca="false">SUMPRODUCT((Baskets!$Q$2:$Q$70&gt;0)*(Baskets!$Z$2:$Z$70&gt;0))</f>
        <v>2</v>
      </c>
      <c r="D33" s="37" t="n">
        <f aca="false">SUMPRODUCT((Baskets!$Q$2:$Q$70&gt;0)*(Baskets!$W$2:$W$70&gt;0))</f>
        <v>0</v>
      </c>
      <c r="E33" s="37" t="n">
        <f aca="false">SUMPRODUCT((Baskets!$Q$2:$Q$70&gt;0)*(Baskets!$U$2:$U$70&gt;0))</f>
        <v>3</v>
      </c>
      <c r="F33" s="36" t="n">
        <f aca="false">SUMPRODUCT((Baskets!$Q$2:$Q$70&gt;0)*(Baskets!$Q$2:$Q$70&gt;0))</f>
        <v>10</v>
      </c>
      <c r="G33" s="37" t="n">
        <f aca="false">SUMPRODUCT((Baskets!$Q$2:$Q$70&gt;0)*(Baskets!$T$2:$T$70&gt;0))</f>
        <v>0</v>
      </c>
      <c r="H33" s="37" t="n">
        <f aca="false">SUMPRODUCT((Baskets!$Q$2:$Q$70&gt;0)*(Baskets!$R$2:$R$70&gt;0))</f>
        <v>0</v>
      </c>
      <c r="I33" s="37" t="n">
        <f aca="false">SUMPRODUCT((Baskets!$Q$2:$Q$70&gt;0)*(Baskets!$AB$2:$AB$70&gt;0))</f>
        <v>1</v>
      </c>
      <c r="J33" s="37" t="n">
        <f aca="false">SUMPRODUCT((Baskets!$Q$2:$Q$70&gt;0)*(Baskets!$AC$2:$AC$70&gt;0))</f>
        <v>0</v>
      </c>
      <c r="K33" s="37" t="n">
        <f aca="false">SUMPRODUCT((Baskets!$Q$2:$Q$70&gt;0)*(Baskets!$Y$2:$Y$70&gt;0))</f>
        <v>1</v>
      </c>
      <c r="L33" s="37" t="n">
        <f aca="false">SUMPRODUCT((Baskets!$Q$2:$Q$70&gt;0)*(Baskets!$S$2:$S$70&gt;0))</f>
        <v>0</v>
      </c>
      <c r="M33" s="37" t="n">
        <f aca="false">SUMPRODUCT((Baskets!$Q$2:$Q$70&gt;0)*(Baskets!$AA$2:$AA$70&gt;0))</f>
        <v>0</v>
      </c>
      <c r="N33" s="37" t="n">
        <f aca="false">SUMPRODUCT((Baskets!$Q$2:$Q$70&gt;0)*(Baskets!$AD$2:$AD$70&gt;0))</f>
        <v>0</v>
      </c>
      <c r="O33" s="37" t="n">
        <f aca="false">SUMPRODUCT((Baskets!$Q$2:$Q$70&gt;0)*(Baskets!$AE$2:$AE$70&gt;0))</f>
        <v>0</v>
      </c>
      <c r="P33" s="37" t="n">
        <f aca="false">SUMPRODUCT((Baskets!$Q$2:$Q$70&gt;0)*(Baskets!$AF$2:$AF$70&gt;0))</f>
        <v>0</v>
      </c>
    </row>
    <row r="34" customFormat="false" ht="15" hidden="false" customHeight="false" outlineLevel="0" collapsed="false">
      <c r="A34" s="9" t="s">
        <v>150</v>
      </c>
      <c r="B34" s="37" t="n">
        <f aca="false">SUMPRODUCT((Baskets!$T$2:$T$70&gt;0)*(Baskets!$V$2:$V$70&gt;0))</f>
        <v>0</v>
      </c>
      <c r="C34" s="37" t="n">
        <f aca="false">SUMPRODUCT((Baskets!$T$2:$T$70&gt;0)*(Baskets!$Z$2:$Z$70&gt;0))</f>
        <v>2</v>
      </c>
      <c r="D34" s="37" t="n">
        <f aca="false">SUMPRODUCT((Baskets!$T$2:$T$70&gt;0)*(Baskets!$W$2:$W$70&gt;0))</f>
        <v>2</v>
      </c>
      <c r="E34" s="37" t="n">
        <f aca="false">SUMPRODUCT((Baskets!$T$2:$T$70&gt;0)*(Baskets!$U$2:$U$70&gt;0))</f>
        <v>0</v>
      </c>
      <c r="F34" s="37" t="n">
        <f aca="false">SUMPRODUCT((Baskets!$T$2:$T$70&gt;0)*(Baskets!$Q$2:$Q$70&gt;0))</f>
        <v>0</v>
      </c>
      <c r="G34" s="36" t="n">
        <f aca="false">SUMPRODUCT((Baskets!$T$2:$T$70&gt;0)*(Baskets!$T$2:$T$70&gt;0))</f>
        <v>11</v>
      </c>
      <c r="H34" s="37" t="n">
        <f aca="false">SUMPRODUCT((Baskets!$T$2:$T$70&gt;0)*(Baskets!$R$2:$R$70&gt;0))</f>
        <v>2</v>
      </c>
      <c r="I34" s="37" t="n">
        <f aca="false">SUMPRODUCT((Baskets!$T$2:$T$70&gt;0)*(Baskets!$AB$2:$AB$70&gt;0))</f>
        <v>1</v>
      </c>
      <c r="J34" s="37" t="n">
        <f aca="false">SUMPRODUCT((Baskets!$T$2:$T$70&gt;0)*(Baskets!$AC$2:$AC$70&gt;0))</f>
        <v>1</v>
      </c>
      <c r="K34" s="37" t="n">
        <f aca="false">SUMPRODUCT((Baskets!$T$2:$T$70&gt;0)*(Baskets!$Y$2:$Y$70&gt;0))</f>
        <v>0</v>
      </c>
      <c r="L34" s="37" t="n">
        <f aca="false">SUMPRODUCT((Baskets!$T$2:$T$70&gt;0)*(Baskets!$S$2:$S$70&gt;0))</f>
        <v>0</v>
      </c>
      <c r="M34" s="37" t="n">
        <f aca="false">SUMPRODUCT((Baskets!$T$2:$T$70&gt;0)*(Baskets!$AA$2:$AA$70&gt;0))</f>
        <v>1</v>
      </c>
      <c r="N34" s="37" t="n">
        <f aca="false">SUMPRODUCT((Baskets!$T$2:$T$70&gt;0)*(Baskets!$AD$2:$AD$70&gt;0))</f>
        <v>0</v>
      </c>
      <c r="O34" s="37" t="n">
        <f aca="false">SUMPRODUCT((Baskets!$T$2:$T$70&gt;0)*(Baskets!$AE$2:$AE$70&gt;0))</f>
        <v>0</v>
      </c>
      <c r="P34" s="37" t="n">
        <f aca="false">SUMPRODUCT((Baskets!$T$2:$T$70&gt;0)*(Baskets!$AF$2:$AF$70&gt;0))</f>
        <v>0</v>
      </c>
    </row>
    <row r="35" customFormat="false" ht="15" hidden="false" customHeight="false" outlineLevel="0" collapsed="false">
      <c r="A35" s="9" t="s">
        <v>151</v>
      </c>
      <c r="B35" s="37" t="n">
        <f aca="false">SUMPRODUCT((Baskets!$R$2:$R$70&gt;0)*(Baskets!$V$2:$V$70&gt;0))</f>
        <v>2</v>
      </c>
      <c r="C35" s="37" t="n">
        <f aca="false">SUMPRODUCT((Baskets!$R$2:$R$70&gt;0)*(Baskets!$Z$2:$Z$70&gt;0))</f>
        <v>0</v>
      </c>
      <c r="D35" s="37" t="n">
        <f aca="false">SUMPRODUCT((Baskets!$R$2:$R$70&gt;0)*(Baskets!$W$2:$W$70&gt;0))</f>
        <v>2</v>
      </c>
      <c r="E35" s="37" t="n">
        <f aca="false">SUMPRODUCT((Baskets!$R$2:$R$70&gt;0)*(Baskets!$U$2:$U$70&gt;0))</f>
        <v>2</v>
      </c>
      <c r="F35" s="37" t="n">
        <f aca="false">SUMPRODUCT((Baskets!$R$2:$R$70&gt;0)*(Baskets!$Q$2:$Q$70&gt;0))</f>
        <v>0</v>
      </c>
      <c r="G35" s="37" t="n">
        <f aca="false">SUMPRODUCT((Baskets!$R$2:$R$70&gt;0)*(Baskets!$T$2:$T$70&gt;0))</f>
        <v>2</v>
      </c>
      <c r="H35" s="36" t="n">
        <f aca="false">SUMPRODUCT((Baskets!$R$2:$R$70&gt;0)*(Baskets!$R$2:$R$70&gt;0))</f>
        <v>10</v>
      </c>
      <c r="I35" s="37" t="n">
        <f aca="false">SUMPRODUCT((Baskets!$R$2:$R$70&gt;0)*(Baskets!$AB$2:$AB$70&gt;0))</f>
        <v>2</v>
      </c>
      <c r="J35" s="37" t="n">
        <f aca="false">SUMPRODUCT((Baskets!$R$2:$R$70&gt;0)*(Baskets!$AC$2:$AC$70&gt;0))</f>
        <v>0</v>
      </c>
      <c r="K35" s="37" t="n">
        <f aca="false">SUMPRODUCT((Baskets!$R$2:$R$70&gt;0)*(Baskets!$Y$2:$Y$70&gt;0))</f>
        <v>1</v>
      </c>
      <c r="L35" s="37" t="n">
        <f aca="false">SUMPRODUCT((Baskets!$R$2:$R$70&gt;0)*(Baskets!$S$2:$S$70&gt;0))</f>
        <v>0</v>
      </c>
      <c r="M35" s="37" t="n">
        <f aca="false">SUMPRODUCT((Baskets!$R$2:$R$70&gt;0)*(Baskets!$AA$2:$AA$70&gt;0))</f>
        <v>0</v>
      </c>
      <c r="N35" s="37" t="n">
        <f aca="false">SUMPRODUCT((Baskets!$R$2:$R$70&gt;0)*(Baskets!$AD$2:$AD$70&gt;0))</f>
        <v>0</v>
      </c>
      <c r="O35" s="37" t="n">
        <f aca="false">SUMPRODUCT((Baskets!$R$2:$R$70&gt;0)*(Baskets!$AE$2:$AE$70&gt;0))</f>
        <v>0</v>
      </c>
      <c r="P35" s="37" t="n">
        <f aca="false">SUMPRODUCT((Baskets!$R$2:$R$70&gt;0)*(Baskets!$AF$2:$AF$70&gt;0))</f>
        <v>0</v>
      </c>
    </row>
    <row r="36" customFormat="false" ht="15" hidden="false" customHeight="false" outlineLevel="0" collapsed="false">
      <c r="A36" s="9" t="s">
        <v>153</v>
      </c>
      <c r="B36" s="37" t="n">
        <f aca="false">SUMPRODUCT((Baskets!$AB$2:$AB$70&gt;0)*(Baskets!$V$2:$V$70&gt;0))</f>
        <v>2</v>
      </c>
      <c r="C36" s="37" t="n">
        <f aca="false">SUMPRODUCT((Baskets!$AB$2:$AB$70&gt;0)*(Baskets!$Z$2:$Z$70&gt;0))</f>
        <v>0</v>
      </c>
      <c r="D36" s="37" t="n">
        <f aca="false">SUMPRODUCT((Baskets!$AB$2:$AB$70&gt;0)*(Baskets!$W$2:$W$70&gt;0))</f>
        <v>0</v>
      </c>
      <c r="E36" s="37" t="n">
        <f aca="false">SUMPRODUCT((Baskets!$AB$2:$AB$70&gt;0)*(Baskets!$U$2:$U$70&gt;0))</f>
        <v>0</v>
      </c>
      <c r="F36" s="37" t="n">
        <f aca="false">SUMPRODUCT((Baskets!$AB$2:$AB$70&gt;0)*(Baskets!$Q$2:$Q$70&gt;0))</f>
        <v>1</v>
      </c>
      <c r="G36" s="37" t="n">
        <f aca="false">SUMPRODUCT((Baskets!$AB$2:$AB$70&gt;0)*(Baskets!$T$2:$T$70&gt;0))</f>
        <v>1</v>
      </c>
      <c r="H36" s="37" t="n">
        <f aca="false">SUMPRODUCT((Baskets!$AB$2:$AB$70&gt;0)*(Baskets!$R$2:$R$70&gt;0))</f>
        <v>2</v>
      </c>
      <c r="I36" s="36" t="n">
        <f aca="false">SUMPRODUCT((Baskets!$AB$2:$AB$70&gt;0)*(Baskets!$AB$2:$AB$70&gt;0))</f>
        <v>7</v>
      </c>
      <c r="J36" s="37" t="n">
        <f aca="false">SUMPRODUCT((Baskets!$AB$2:$AB$70&gt;0)*(Baskets!$AC$2:$AC$70&gt;0))</f>
        <v>1</v>
      </c>
      <c r="K36" s="37" t="n">
        <f aca="false">SUMPRODUCT((Baskets!$AB$2:$AB$70&gt;0)*(Baskets!$Y$2:$Y$70&gt;0))</f>
        <v>1</v>
      </c>
      <c r="L36" s="37" t="n">
        <f aca="false">SUMPRODUCT((Baskets!$AB$2:$AB$70&gt;0)*(Baskets!$S$2:$S$70&gt;0))</f>
        <v>0</v>
      </c>
      <c r="M36" s="37" t="n">
        <f aca="false">SUMPRODUCT((Baskets!$AB$2:$AB$70&gt;0)*(Baskets!$AA$2:$AA$70&gt;0))</f>
        <v>0</v>
      </c>
      <c r="N36" s="37" t="n">
        <f aca="false">SUMPRODUCT((Baskets!$AB$2:$AB$70&gt;0)*(Baskets!$AD$2:$AD$70&gt;0))</f>
        <v>0</v>
      </c>
      <c r="O36" s="37" t="n">
        <f aca="false">SUMPRODUCT((Baskets!$AB$2:$AB$70&gt;0)*(Baskets!$AE$2:$AE$70&gt;0))</f>
        <v>0</v>
      </c>
      <c r="P36" s="37" t="n">
        <f aca="false">SUMPRODUCT((Baskets!$AB$2:$AB$70&gt;0)*(Baskets!$AF$2:$AF$70&gt;0))</f>
        <v>0</v>
      </c>
    </row>
    <row r="37" customFormat="false" ht="15" hidden="false" customHeight="false" outlineLevel="0" collapsed="false">
      <c r="A37" s="9" t="s">
        <v>155</v>
      </c>
      <c r="B37" s="37" t="n">
        <f aca="false">SUMPRODUCT((Baskets!$AC$2:$AC$70&gt;0)*(Baskets!$V$2:$V$70&gt;0))</f>
        <v>1</v>
      </c>
      <c r="C37" s="37" t="n">
        <f aca="false">SUMPRODUCT((Baskets!$AC$2:$AC$70&gt;0)*(Baskets!$Z$2:$Z$70&gt;0))</f>
        <v>1</v>
      </c>
      <c r="D37" s="37" t="n">
        <f aca="false">SUMPRODUCT((Baskets!$AC$2:$AC$70&gt;0)*(Baskets!$W$2:$W$70&gt;0))</f>
        <v>1</v>
      </c>
      <c r="E37" s="37" t="n">
        <f aca="false">SUMPRODUCT((Baskets!$AC$2:$AC$70&gt;0)*(Baskets!$U$2:$U$70&gt;0))</f>
        <v>1</v>
      </c>
      <c r="F37" s="37" t="n">
        <f aca="false">SUMPRODUCT((Baskets!$AC$2:$AC$70&gt;0)*(Baskets!$Q$2:$Q$70&gt;0))</f>
        <v>0</v>
      </c>
      <c r="G37" s="37" t="n">
        <f aca="false">SUMPRODUCT((Baskets!$AC$2:$AC$70&gt;0)*(Baskets!$T$2:$T$70&gt;0))</f>
        <v>1</v>
      </c>
      <c r="H37" s="37" t="n">
        <f aca="false">SUMPRODUCT((Baskets!$AC$2:$AC$70&gt;0)*(Baskets!$R$2:$R$70&gt;0))</f>
        <v>0</v>
      </c>
      <c r="I37" s="37" t="n">
        <f aca="false">SUMPRODUCT((Baskets!$AC$2:$AC$70&gt;0)*(Baskets!$AB$2:$AB$70&gt;0))</f>
        <v>1</v>
      </c>
      <c r="J37" s="36" t="n">
        <f aca="false">SUMPRODUCT((Baskets!$AC$2:$AC$70&gt;0)*(Baskets!$AC$2:$AC$70&gt;0))</f>
        <v>6</v>
      </c>
      <c r="K37" s="37" t="n">
        <f aca="false">SUMPRODUCT((Baskets!$AC$2:$AC$70&gt;0)*(Baskets!$Y$2:$Y$70&gt;0))</f>
        <v>0</v>
      </c>
      <c r="L37" s="37" t="n">
        <f aca="false">SUMPRODUCT((Baskets!$AC$2:$AC$70&gt;0)*(Baskets!$S$2:$S$70&gt;0))</f>
        <v>0</v>
      </c>
      <c r="M37" s="37" t="n">
        <f aca="false">SUMPRODUCT((Baskets!$AC$2:$AC$70&gt;0)*(Baskets!$AA$2:$AA$70&gt;0))</f>
        <v>0</v>
      </c>
      <c r="N37" s="37" t="n">
        <f aca="false">SUMPRODUCT((Baskets!$AC$2:$AC$70&gt;0)*(Baskets!$AD$2:$AD$70&gt;0))</f>
        <v>0</v>
      </c>
      <c r="O37" s="37" t="n">
        <f aca="false">SUMPRODUCT((Baskets!$AC$2:$AC$70&gt;0)*(Baskets!$AE$2:$AE$70&gt;0))</f>
        <v>0</v>
      </c>
      <c r="P37" s="37" t="n">
        <f aca="false">SUMPRODUCT((Baskets!$AC$2:$AC$70&gt;0)*(Baskets!$AF$2:$AF$70&gt;0))</f>
        <v>0</v>
      </c>
    </row>
    <row r="38" customFormat="false" ht="15" hidden="false" customHeight="false" outlineLevel="0" collapsed="false">
      <c r="A38" s="9" t="s">
        <v>156</v>
      </c>
      <c r="B38" s="37" t="n">
        <f aca="false">SUMPRODUCT((Baskets!$Y$2:$Y$70&gt;0)*(Baskets!$V$2:$V$70&gt;0))</f>
        <v>2</v>
      </c>
      <c r="C38" s="37" t="n">
        <f aca="false">SUMPRODUCT((Baskets!$Y$2:$Y$70&gt;0)*(Baskets!$Z$2:$Z$70&gt;0))</f>
        <v>2</v>
      </c>
      <c r="D38" s="37" t="n">
        <f aca="false">SUMPRODUCT((Baskets!$Y$2:$Y$70&gt;0)*(Baskets!$W$2:$W$70&gt;0))</f>
        <v>0</v>
      </c>
      <c r="E38" s="37" t="n">
        <f aca="false">SUMPRODUCT((Baskets!$Y$2:$Y$70&gt;0)*(Baskets!$U$2:$U$70&gt;0))</f>
        <v>1</v>
      </c>
      <c r="F38" s="37" t="n">
        <f aca="false">SUMPRODUCT((Baskets!$Y$2:$Y$70&gt;0)*(Baskets!$Q$2:$Q$70&gt;0))</f>
        <v>1</v>
      </c>
      <c r="G38" s="37" t="n">
        <f aca="false">SUMPRODUCT((Baskets!$Y$2:$Y$70&gt;0)*(Baskets!$T$2:$T$70&gt;0))</f>
        <v>0</v>
      </c>
      <c r="H38" s="37" t="n">
        <f aca="false">SUMPRODUCT((Baskets!$Y$2:$Y$70&gt;0)*(Baskets!$R$2:$R$70&gt;0))</f>
        <v>1</v>
      </c>
      <c r="I38" s="37" t="n">
        <f aca="false">SUMPRODUCT((Baskets!$Y$2:$Y$70&gt;0)*(Baskets!$AB$2:$AB$70&gt;0))</f>
        <v>1</v>
      </c>
      <c r="J38" s="37" t="n">
        <f aca="false">SUMPRODUCT((Baskets!$Y$2:$Y$70&gt;0)*(Baskets!$AC$2:$AC$70&gt;0))</f>
        <v>0</v>
      </c>
      <c r="K38" s="36" t="n">
        <f aca="false">SUMPRODUCT((Baskets!$Y$2:$Y$70&gt;0)*(Baskets!$Y$2:$Y$70&gt;0))</f>
        <v>5</v>
      </c>
      <c r="L38" s="37" t="n">
        <f aca="false">SUMPRODUCT((Baskets!$Y$2:$Y$70&gt;0)*(Baskets!$S$2:$S$70&gt;0))</f>
        <v>0</v>
      </c>
      <c r="M38" s="37" t="n">
        <f aca="false">SUMPRODUCT((Baskets!$Y$2:$Y$70&gt;0)*(Baskets!$AA$2:$AA$70&gt;0))</f>
        <v>0</v>
      </c>
      <c r="N38" s="37" t="n">
        <f aca="false">SUMPRODUCT((Baskets!$Y$2:$Y$70&gt;0)*(Baskets!$AD$2:$AD$70&gt;0))</f>
        <v>0</v>
      </c>
      <c r="O38" s="37" t="n">
        <f aca="false">SUMPRODUCT((Baskets!$Y$2:$Y$70&gt;0)*(Baskets!$AE$2:$AE$70&gt;0))</f>
        <v>0</v>
      </c>
      <c r="P38" s="37" t="n">
        <f aca="false">SUMPRODUCT((Baskets!$Y$2:$Y$70&gt;0)*(Baskets!$AF$2:$AF$70&gt;0))</f>
        <v>0</v>
      </c>
    </row>
    <row r="39" customFormat="false" ht="15" hidden="false" customHeight="false" outlineLevel="0" collapsed="false">
      <c r="A39" s="9" t="s">
        <v>158</v>
      </c>
      <c r="B39" s="37" t="n">
        <f aca="false">SUMPRODUCT((Baskets!$S$2:$S$70&gt;0)*(Baskets!$V$2:$V$70&gt;0))</f>
        <v>0</v>
      </c>
      <c r="C39" s="37" t="n">
        <f aca="false">SUMPRODUCT((Baskets!$S$2:$S$70&gt;0)*(Baskets!$Z$2:$Z$70&gt;0))</f>
        <v>1</v>
      </c>
      <c r="D39" s="37" t="n">
        <f aca="false">SUMPRODUCT((Baskets!$S$2:$S$70&gt;0)*(Baskets!$W$2:$W$70&gt;0))</f>
        <v>0</v>
      </c>
      <c r="E39" s="37" t="n">
        <f aca="false">SUMPRODUCT((Baskets!$S$2:$S$70&gt;0)*(Baskets!$U$2:$U$70&gt;0))</f>
        <v>0</v>
      </c>
      <c r="F39" s="37" t="n">
        <f aca="false">SUMPRODUCT((Baskets!$S$2:$S$70&gt;0)*(Baskets!$Q$2:$Q$70&gt;0))</f>
        <v>0</v>
      </c>
      <c r="G39" s="37" t="n">
        <f aca="false">SUMPRODUCT((Baskets!$S$2:$S$70&gt;0)*(Baskets!$T$2:$T$70&gt;0))</f>
        <v>0</v>
      </c>
      <c r="H39" s="37" t="n">
        <f aca="false">SUMPRODUCT((Baskets!$S$2:$S$70&gt;0)*(Baskets!$R$2:$R$70&gt;0))</f>
        <v>0</v>
      </c>
      <c r="I39" s="37" t="n">
        <f aca="false">SUMPRODUCT((Baskets!$S$2:$S$70&gt;0)*(Baskets!$AB$2:$AB$70&gt;0))</f>
        <v>0</v>
      </c>
      <c r="J39" s="37" t="n">
        <f aca="false">SUMPRODUCT((Baskets!$S$2:$S$70&gt;0)*(Baskets!$AC$2:$AC$70&gt;0))</f>
        <v>0</v>
      </c>
      <c r="K39" s="37" t="n">
        <f aca="false">SUMPRODUCT((Baskets!$S$2:$S$70&gt;0)*(Baskets!$Y$2:$Y$70&gt;0))</f>
        <v>0</v>
      </c>
      <c r="L39" s="36" t="n">
        <f aca="false">SUMPRODUCT((Baskets!$S$2:$S$70&gt;0)*(Baskets!$S$2:$S$70&gt;0))</f>
        <v>2</v>
      </c>
      <c r="M39" s="37" t="n">
        <f aca="false">SUMPRODUCT((Baskets!$S$2:$S$70&gt;0)*(Baskets!$AA$2:$AA$70&gt;0))</f>
        <v>0</v>
      </c>
      <c r="N39" s="37" t="n">
        <f aca="false">SUMPRODUCT((Baskets!$S$2:$S$70&gt;0)*(Baskets!$AD$2:$AD$70&gt;0))</f>
        <v>0</v>
      </c>
      <c r="O39" s="37" t="n">
        <f aca="false">SUMPRODUCT((Baskets!$S$2:$S$70&gt;0)*(Baskets!$AE$2:$AE$70&gt;0))</f>
        <v>0</v>
      </c>
      <c r="P39" s="37" t="n">
        <f aca="false">SUMPRODUCT((Baskets!$S$2:$S$70&gt;0)*(Baskets!$AF$2:$AF$70&gt;0))</f>
        <v>0</v>
      </c>
    </row>
    <row r="40" customFormat="false" ht="15" hidden="false" customHeight="false" outlineLevel="0" collapsed="false">
      <c r="A40" s="9" t="s">
        <v>159</v>
      </c>
      <c r="B40" s="37" t="n">
        <f aca="false">SUMPRODUCT((Baskets!$AA$2:$AA$70&gt;0)*(Baskets!$V$2:$V$70&gt;0))</f>
        <v>0</v>
      </c>
      <c r="C40" s="37" t="n">
        <f aca="false">SUMPRODUCT((Baskets!$AA$2:$AA$70&gt;0)*(Baskets!$Z$2:$Z$70&gt;0))</f>
        <v>2</v>
      </c>
      <c r="D40" s="37" t="n">
        <f aca="false">SUMPRODUCT((Baskets!$AA$2:$AA$70&gt;0)*(Baskets!$W$2:$W$70&gt;0))</f>
        <v>0</v>
      </c>
      <c r="E40" s="37" t="n">
        <f aca="false">SUMPRODUCT((Baskets!$AA$2:$AA$70&gt;0)*(Baskets!$U$2:$U$70&gt;0))</f>
        <v>1</v>
      </c>
      <c r="F40" s="37" t="n">
        <f aca="false">SUMPRODUCT((Baskets!$AA$2:$AA$70&gt;0)*(Baskets!$Q$2:$Q$70&gt;0))</f>
        <v>0</v>
      </c>
      <c r="G40" s="37" t="n">
        <f aca="false">SUMPRODUCT((Baskets!$AA$2:$AA$70&gt;0)*(Baskets!$T$2:$T$70&gt;0))</f>
        <v>1</v>
      </c>
      <c r="H40" s="37" t="n">
        <f aca="false">SUMPRODUCT((Baskets!$AA$2:$AA$70&gt;0)*(Baskets!$R$2:$R$70&gt;0))</f>
        <v>0</v>
      </c>
      <c r="I40" s="37" t="n">
        <f aca="false">SUMPRODUCT((Baskets!$AA$2:$AA$70&gt;0)*(Baskets!$AB$2:$AB$70&gt;0))</f>
        <v>0</v>
      </c>
      <c r="J40" s="37" t="n">
        <f aca="false">SUMPRODUCT((Baskets!$AA$2:$AA$70&gt;0)*(Baskets!$AC$2:$AC$70&gt;0))</f>
        <v>0</v>
      </c>
      <c r="K40" s="37" t="n">
        <f aca="false">SUMPRODUCT((Baskets!$AA$2:$AA$70&gt;0)*(Baskets!$Y$2:$Y$70&gt;0))</f>
        <v>0</v>
      </c>
      <c r="L40" s="37" t="n">
        <f aca="false">SUMPRODUCT((Baskets!$AA$2:$AA$70&gt;0)*(Baskets!$S$2:$S$70&gt;0))</f>
        <v>0</v>
      </c>
      <c r="M40" s="36" t="n">
        <f aca="false">SUMPRODUCT((Baskets!$AA$2:$AA$70&gt;0)*(Baskets!$AA$2:$AA$70&gt;0))</f>
        <v>2</v>
      </c>
      <c r="N40" s="37" t="n">
        <f aca="false">SUMPRODUCT((Baskets!$AA$2:$AA$70&gt;0)*(Baskets!$AD$2:$AD$70&gt;0))</f>
        <v>0</v>
      </c>
      <c r="O40" s="37" t="n">
        <f aca="false">SUMPRODUCT((Baskets!$AA$2:$AA$70&gt;0)*(Baskets!$AE$2:$AE$70&gt;0))</f>
        <v>0</v>
      </c>
      <c r="P40" s="37" t="n">
        <f aca="false">SUMPRODUCT((Baskets!$AA$2:$AA$70&gt;0)*(Baskets!$AF$2:$AF$70&gt;0))</f>
        <v>0</v>
      </c>
    </row>
    <row r="41" customFormat="false" ht="15" hidden="false" customHeight="false" outlineLevel="0" collapsed="false">
      <c r="A41" s="9" t="s">
        <v>163</v>
      </c>
      <c r="B41" s="37" t="n">
        <f aca="false">SUMPRODUCT((Baskets!$AD$2:$AD$70&gt;0)*(Baskets!$V$2:$V$70&gt;0))</f>
        <v>0</v>
      </c>
      <c r="C41" s="37" t="n">
        <f aca="false">SUMPRODUCT((Baskets!$AD$2:$AD$70&gt;0)*(Baskets!$Z$2:$Z$70&gt;0))</f>
        <v>1</v>
      </c>
      <c r="D41" s="37" t="n">
        <f aca="false">SUMPRODUCT((Baskets!$AD$2:$AD$70&gt;0)*(Baskets!$W$2:$W$70&gt;0))</f>
        <v>0</v>
      </c>
      <c r="E41" s="37" t="n">
        <f aca="false">SUMPRODUCT((Baskets!$AD$2:$AD$70&gt;0)*(Baskets!$U$2:$U$70&gt;0))</f>
        <v>0</v>
      </c>
      <c r="F41" s="37" t="n">
        <f aca="false">SUMPRODUCT((Baskets!$AD$2:$AD$70&gt;0)*(Baskets!$Q$2:$Q$70&gt;0))</f>
        <v>0</v>
      </c>
      <c r="G41" s="37" t="n">
        <f aca="false">SUMPRODUCT((Baskets!$AD$2:$AD$70&gt;0)*(Baskets!$T$2:$T$70&gt;0))</f>
        <v>0</v>
      </c>
      <c r="H41" s="37" t="n">
        <f aca="false">SUMPRODUCT((Baskets!$AD$2:$AD$70&gt;0)*(Baskets!$R$2:$R$70&gt;0))</f>
        <v>0</v>
      </c>
      <c r="I41" s="37" t="n">
        <f aca="false">SUMPRODUCT((Baskets!$AD$2:$AD$70&gt;0)*(Baskets!$AB$2:$AB$70&gt;0))</f>
        <v>0</v>
      </c>
      <c r="J41" s="37" t="n">
        <f aca="false">SUMPRODUCT((Baskets!$AD$2:$AD$70&gt;0)*(Baskets!$AC$2:$AC$70&gt;0))</f>
        <v>0</v>
      </c>
      <c r="K41" s="37" t="n">
        <f aca="false">SUMPRODUCT((Baskets!$AD$2:$AD$70&gt;0)*(Baskets!$Y$2:$Y$70&gt;0))</f>
        <v>0</v>
      </c>
      <c r="L41" s="37" t="n">
        <f aca="false">SUMPRODUCT((Baskets!$AD$2:$AD$70&gt;0)*(Baskets!$S$2:$S$70&gt;0))</f>
        <v>0</v>
      </c>
      <c r="M41" s="37" t="n">
        <f aca="false">SUMPRODUCT((Baskets!$AD$2:$AD$70&gt;0)*(Baskets!$AA$2:$AA$70&gt;0))</f>
        <v>0</v>
      </c>
      <c r="N41" s="36" t="n">
        <f aca="false">SUMPRODUCT((Baskets!$AD$2:$AD$70&gt;0)*(Baskets!$AD$2:$AD$70&gt;0))</f>
        <v>1</v>
      </c>
      <c r="O41" s="37" t="n">
        <f aca="false">SUMPRODUCT((Baskets!$AD$2:$AD$70&gt;0)*(Baskets!$AE$2:$AE$70&gt;0))</f>
        <v>0</v>
      </c>
      <c r="P41" s="37" t="n">
        <f aca="false">SUMPRODUCT((Baskets!$AD$2:$AD$70&gt;0)*(Baskets!$AF$2:$AF$70&gt;0))</f>
        <v>0</v>
      </c>
    </row>
    <row r="42" customFormat="false" ht="15" hidden="false" customHeight="false" outlineLevel="0" collapsed="false">
      <c r="A42" s="9" t="s">
        <v>246</v>
      </c>
      <c r="B42" s="37" t="n">
        <f aca="false">SUMPRODUCT((Baskets!$AE$2:$AE$70&gt;0)*(Baskets!$V$2:$V$70&gt;0))</f>
        <v>0</v>
      </c>
      <c r="C42" s="37" t="n">
        <f aca="false">SUMPRODUCT((Baskets!$AE$2:$AE$70&gt;0)*(Baskets!$Z$2:$Z$70&gt;0))</f>
        <v>0</v>
      </c>
      <c r="D42" s="37" t="n">
        <f aca="false">SUMPRODUCT((Baskets!$AE$2:$AE$70&gt;0)*(Baskets!$W$2:$W$70&gt;0))</f>
        <v>0</v>
      </c>
      <c r="E42" s="37" t="n">
        <f aca="false">SUMPRODUCT((Baskets!$AE$2:$AE$70&gt;0)*(Baskets!$U$2:$U$70&gt;0))</f>
        <v>0</v>
      </c>
      <c r="F42" s="37" t="n">
        <f aca="false">SUMPRODUCT((Baskets!$AE$2:$AE$70&gt;0)*(Baskets!$Q$2:$Q$70&gt;0))</f>
        <v>0</v>
      </c>
      <c r="G42" s="37" t="n">
        <f aca="false">SUMPRODUCT((Baskets!$AE$2:$AE$70&gt;0)*(Baskets!$T$2:$T$70&gt;0))</f>
        <v>0</v>
      </c>
      <c r="H42" s="37" t="n">
        <f aca="false">SUMPRODUCT((Baskets!$AE$2:$AE$70&gt;0)*(Baskets!$R$2:$R$70&gt;0))</f>
        <v>0</v>
      </c>
      <c r="I42" s="37" t="n">
        <f aca="false">SUMPRODUCT((Baskets!$AE$2:$AE$70&gt;0)*(Baskets!$AB$2:$AB$70&gt;0))</f>
        <v>0</v>
      </c>
      <c r="J42" s="37" t="n">
        <f aca="false">SUMPRODUCT((Baskets!$AE$2:$AE$70&gt;0)*(Baskets!$AC$2:$AC$70&gt;0))</f>
        <v>0</v>
      </c>
      <c r="K42" s="37" t="n">
        <f aca="false">SUMPRODUCT((Baskets!$AE$2:$AE$70&gt;0)*(Baskets!$Y$2:$Y$70&gt;0))</f>
        <v>0</v>
      </c>
      <c r="L42" s="37" t="n">
        <f aca="false">SUMPRODUCT((Baskets!$AE$2:$AE$70&gt;0)*(Baskets!$S$2:$S$70&gt;0))</f>
        <v>0</v>
      </c>
      <c r="M42" s="37" t="n">
        <f aca="false">SUMPRODUCT((Baskets!$AE$2:$AE$70&gt;0)*(Baskets!$AA$2:$AA$70&gt;0))</f>
        <v>0</v>
      </c>
      <c r="N42" s="37" t="n">
        <f aca="false">SUMPRODUCT((Baskets!$AE$2:$AE$70&gt;0)*(Baskets!$AD$2:$AD$70&gt;0))</f>
        <v>0</v>
      </c>
      <c r="O42" s="36" t="n">
        <f aca="false">SUMPRODUCT((Baskets!$AE$2:$AE$70&gt;0)*(Baskets!$AE$2:$AE$70&gt;0))</f>
        <v>3</v>
      </c>
      <c r="P42" s="37" t="n">
        <f aca="false">SUMPRODUCT((Baskets!$AE$2:$AE$70&gt;0)*(Baskets!$AF$2:$AF$70&gt;0))</f>
        <v>0</v>
      </c>
    </row>
    <row r="43" customFormat="false" ht="15" hidden="false" customHeight="false" outlineLevel="0" collapsed="false">
      <c r="A43" s="9" t="s">
        <v>247</v>
      </c>
      <c r="B43" s="37" t="n">
        <f aca="false">SUMPRODUCT((Baskets!$AF$2:$AF$70&gt;0)*(Baskets!$V$2:$V$70&gt;0))</f>
        <v>0</v>
      </c>
      <c r="C43" s="37" t="n">
        <f aca="false">SUMPRODUCT((Baskets!$AF$2:$AF$70&gt;0)*(Baskets!$Z$2:$Z$70&gt;0))</f>
        <v>0</v>
      </c>
      <c r="D43" s="37" t="n">
        <f aca="false">SUMPRODUCT((Baskets!$AF$2:$AF$70&gt;0)*(Baskets!$W$2:$W$70&gt;0))</f>
        <v>0</v>
      </c>
      <c r="E43" s="37" t="n">
        <f aca="false">SUMPRODUCT((Baskets!$AF$2:$AF$70&gt;0)*(Baskets!$U$2:$U$70&gt;0))</f>
        <v>0</v>
      </c>
      <c r="F43" s="37" t="n">
        <f aca="false">SUMPRODUCT((Baskets!$AF$2:$AF$70&gt;0)*(Baskets!$Q$2:$Q$70&gt;0))</f>
        <v>0</v>
      </c>
      <c r="G43" s="37" t="n">
        <f aca="false">SUMPRODUCT((Baskets!$AF$2:$AF$70&gt;0)*(Baskets!$T$2:$T$70&gt;0))</f>
        <v>0</v>
      </c>
      <c r="H43" s="37" t="n">
        <f aca="false">SUMPRODUCT((Baskets!$AF$2:$AF$70&gt;0)*(Baskets!$R$2:$R$70&gt;0))</f>
        <v>0</v>
      </c>
      <c r="I43" s="37" t="n">
        <f aca="false">SUMPRODUCT((Baskets!$AF$2:$AF$70&gt;0)*(Baskets!$AB$2:$AB$70&gt;0))</f>
        <v>0</v>
      </c>
      <c r="J43" s="37" t="n">
        <f aca="false">SUMPRODUCT((Baskets!$AF$2:$AF$70&gt;0)*(Baskets!$AC$2:$AC$70&gt;0))</f>
        <v>0</v>
      </c>
      <c r="K43" s="37" t="n">
        <f aca="false">SUMPRODUCT((Baskets!$AF$2:$AF$70&gt;0)*(Baskets!$Y$2:$Y$70&gt;0))</f>
        <v>0</v>
      </c>
      <c r="L43" s="37" t="n">
        <f aca="false">SUMPRODUCT((Baskets!$AF$2:$AF$70&gt;0)*(Baskets!$S$2:$S$70&gt;0))</f>
        <v>0</v>
      </c>
      <c r="M43" s="37" t="n">
        <f aca="false">SUMPRODUCT((Baskets!$AF$2:$AF$70&gt;0)*(Baskets!$AA$2:$AA$70&gt;0))</f>
        <v>0</v>
      </c>
      <c r="N43" s="37" t="n">
        <f aca="false">SUMPRODUCT((Baskets!$AF$2:$AF$70&gt;0)*(Baskets!$AD$2:$AD$70&gt;0))</f>
        <v>0</v>
      </c>
      <c r="O43" s="37" t="n">
        <f aca="false">SUMPRODUCT((Baskets!$AF$2:$AF$70&gt;0)*(Baskets!$AE$2:$AE$70&gt;0))</f>
        <v>0</v>
      </c>
      <c r="P43" s="36" t="n">
        <f aca="false">SUMPRODUCT((Baskets!$AF$2:$AF$70&gt;0)*(Baskets!$AF$2:$AF$70&gt;0))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8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30" hidden="false" customHeight="true" outlineLevel="0" collapsed="false">
      <c r="A4" s="7" t="s">
        <v>81</v>
      </c>
      <c r="B4" s="7" t="s">
        <v>250</v>
      </c>
      <c r="C4" s="7" t="s">
        <v>251</v>
      </c>
      <c r="D4" s="7" t="s">
        <v>252</v>
      </c>
      <c r="E4" s="7" t="s">
        <v>253</v>
      </c>
      <c r="F4" s="7" t="s">
        <v>254</v>
      </c>
      <c r="G4" s="7" t="s">
        <v>255</v>
      </c>
      <c r="H4" s="7" t="s">
        <v>256</v>
      </c>
      <c r="I4" s="7" t="s">
        <v>257</v>
      </c>
      <c r="J4" s="7" t="s">
        <v>258</v>
      </c>
    </row>
    <row r="5" customFormat="false" ht="15" hidden="false" customHeight="false" outlineLevel="0" collapsed="false">
      <c r="A5" s="9" t="s">
        <v>137</v>
      </c>
      <c r="B5" s="16" t="n">
        <f aca="false">SUMIFS('Raw Data'!$F$2:$F$114,'Raw Data'!$E$2:$E$114,A5)</f>
        <v>24</v>
      </c>
      <c r="C5" s="37" t="n">
        <f aca="false">SUMIFS('Raw Data'!$F$2:$F$114,'Raw Data'!$E$2:$E$114,$A5,'Raw Data'!$I$2:$I$114,"Kid")</f>
        <v>10</v>
      </c>
      <c r="D5" s="37" t="n">
        <f aca="false">SUMIFS('Raw Data'!$F$2:$F$114,'Raw Data'!$E$2:$E$114,$A5,'Raw Data'!$I$2:$I$114,"Teen")</f>
        <v>1</v>
      </c>
      <c r="E5" s="37" t="n">
        <f aca="false">SUMIFS('Raw Data'!$F$2:$F$114,'Raw Data'!$E$2:$E$114,$A5,'Raw Data'!$I$2:$I$114,"Adult")</f>
        <v>1</v>
      </c>
      <c r="F5" s="37" t="n">
        <f aca="false">B5-SUM(C5:E5)</f>
        <v>12</v>
      </c>
      <c r="G5" s="37" t="n">
        <f aca="false">SUMIFS('Raw Data'!$F$2:$F$114,'Raw Data'!$E$2:$E$114,$A5,'Raw Data'!$J$2:$J$114,"Male")</f>
        <v>15</v>
      </c>
      <c r="H5" s="37" t="n">
        <f aca="false">SUMIFS('Raw Data'!$F$2:$F$114,'Raw Data'!$E$2:$E$114,$A5,'Raw Data'!$J$2:$J$114,"Female")</f>
        <v>6</v>
      </c>
      <c r="I5" s="37" t="n">
        <f aca="false">B5-G5-H5</f>
        <v>3</v>
      </c>
      <c r="J5" s="19" t="n">
        <f aca="false">IF(G5+H5=0,"",G5/(G5+H5))</f>
        <v>0.714285714285714</v>
      </c>
    </row>
    <row r="6" customFormat="false" ht="15" hidden="false" customHeight="false" outlineLevel="0" collapsed="false">
      <c r="A6" s="9" t="s">
        <v>140</v>
      </c>
      <c r="B6" s="16" t="n">
        <f aca="false">SUMIFS('Raw Data'!$F$2:$F$114,'Raw Data'!$E$2:$E$114,A6)</f>
        <v>23</v>
      </c>
      <c r="C6" s="37" t="n">
        <f aca="false">SUMIFS('Raw Data'!$F$2:$F$114,'Raw Data'!$E$2:$E$114,$A6,'Raw Data'!$I$2:$I$114,"Kid")</f>
        <v>8</v>
      </c>
      <c r="D6" s="37" t="n">
        <f aca="false">SUMIFS('Raw Data'!$F$2:$F$114,'Raw Data'!$E$2:$E$114,$A6,'Raw Data'!$I$2:$I$114,"Teen")</f>
        <v>9</v>
      </c>
      <c r="E6" s="37" t="n">
        <f aca="false">SUMIFS('Raw Data'!$F$2:$F$114,'Raw Data'!$E$2:$E$114,$A6,'Raw Data'!$I$2:$I$114,"Adult")</f>
        <v>2</v>
      </c>
      <c r="F6" s="37" t="n">
        <f aca="false">B6-SUM(C6:E6)</f>
        <v>4</v>
      </c>
      <c r="G6" s="37" t="n">
        <f aca="false">SUMIFS('Raw Data'!$F$2:$F$114,'Raw Data'!$E$2:$E$114,$A6,'Raw Data'!$J$2:$J$114,"Male")</f>
        <v>5</v>
      </c>
      <c r="H6" s="37" t="n">
        <f aca="false">SUMIFS('Raw Data'!$F$2:$F$114,'Raw Data'!$E$2:$E$114,$A6,'Raw Data'!$J$2:$J$114,"Female")</f>
        <v>7</v>
      </c>
      <c r="I6" s="37" t="n">
        <f aca="false">B6-G6-H6</f>
        <v>11</v>
      </c>
      <c r="J6" s="19" t="n">
        <f aca="false">IF(G6+H6=0,"",G6/(G6+H6))</f>
        <v>0.416666666666667</v>
      </c>
    </row>
    <row r="7" customFormat="false" ht="15" hidden="false" customHeight="false" outlineLevel="0" collapsed="false">
      <c r="A7" s="9" t="s">
        <v>142</v>
      </c>
      <c r="B7" s="16" t="n">
        <f aca="false">SUMIFS('Raw Data'!$F$2:$F$114,'Raw Data'!$E$2:$E$114,A7)</f>
        <v>10</v>
      </c>
      <c r="C7" s="37" t="n">
        <f aca="false">SUMIFS('Raw Data'!$F$2:$F$114,'Raw Data'!$E$2:$E$114,$A7,'Raw Data'!$I$2:$I$114,"Kid")</f>
        <v>6</v>
      </c>
      <c r="D7" s="37" t="n">
        <f aca="false">SUMIFS('Raw Data'!$F$2:$F$114,'Raw Data'!$E$2:$E$114,$A7,'Raw Data'!$I$2:$I$114,"Teen")</f>
        <v>1</v>
      </c>
      <c r="E7" s="37" t="n">
        <f aca="false">SUMIFS('Raw Data'!$F$2:$F$114,'Raw Data'!$E$2:$E$114,$A7,'Raw Data'!$I$2:$I$114,"Adult")</f>
        <v>1</v>
      </c>
      <c r="F7" s="37" t="n">
        <f aca="false">B7-SUM(C7:E7)</f>
        <v>2</v>
      </c>
      <c r="G7" s="37" t="n">
        <f aca="false">SUMIFS('Raw Data'!$F$2:$F$114,'Raw Data'!$E$2:$E$114,$A7,'Raw Data'!$J$2:$J$114,"Male")</f>
        <v>7</v>
      </c>
      <c r="H7" s="37" t="n">
        <f aca="false">SUMIFS('Raw Data'!$F$2:$F$114,'Raw Data'!$E$2:$E$114,$A7,'Raw Data'!$J$2:$J$114,"Female")</f>
        <v>1</v>
      </c>
      <c r="I7" s="37" t="n">
        <f aca="false">B7-G7-H7</f>
        <v>2</v>
      </c>
      <c r="J7" s="19" t="n">
        <f aca="false">IF(G7+H7=0,"",G7/(G7+H7))</f>
        <v>0.875</v>
      </c>
    </row>
    <row r="8" customFormat="false" ht="15" hidden="false" customHeight="false" outlineLevel="0" collapsed="false">
      <c r="A8" s="9" t="s">
        <v>145</v>
      </c>
      <c r="B8" s="16" t="n">
        <f aca="false">SUMIFS('Raw Data'!$F$2:$F$114,'Raw Data'!$E$2:$E$114,A8)</f>
        <v>12</v>
      </c>
      <c r="C8" s="37" t="n">
        <f aca="false">SUMIFS('Raw Data'!$F$2:$F$114,'Raw Data'!$E$2:$E$114,$A8,'Raw Data'!$I$2:$I$114,"Kid")</f>
        <v>2</v>
      </c>
      <c r="D8" s="37" t="n">
        <f aca="false">SUMIFS('Raw Data'!$F$2:$F$114,'Raw Data'!$E$2:$E$114,$A8,'Raw Data'!$I$2:$I$114,"Teen")</f>
        <v>1</v>
      </c>
      <c r="E8" s="37" t="n">
        <f aca="false">SUMIFS('Raw Data'!$F$2:$F$114,'Raw Data'!$E$2:$E$114,$A8,'Raw Data'!$I$2:$I$114,"Adult")</f>
        <v>0</v>
      </c>
      <c r="F8" s="37" t="n">
        <f aca="false">B8-SUM(C8:E8)</f>
        <v>9</v>
      </c>
      <c r="G8" s="37" t="n">
        <f aca="false">SUMIFS('Raw Data'!$F$2:$F$114,'Raw Data'!$E$2:$E$114,$A8,'Raw Data'!$J$2:$J$114,"Male")</f>
        <v>5</v>
      </c>
      <c r="H8" s="37" t="n">
        <f aca="false">SUMIFS('Raw Data'!$F$2:$F$114,'Raw Data'!$E$2:$E$114,$A8,'Raw Data'!$J$2:$J$114,"Female")</f>
        <v>2</v>
      </c>
      <c r="I8" s="37" t="n">
        <f aca="false">B8-G8-H8</f>
        <v>5</v>
      </c>
      <c r="J8" s="19" t="n">
        <f aca="false">IF(G8+H8=0,"",G8/(G8+H8))</f>
        <v>0.714285714285714</v>
      </c>
    </row>
    <row r="9" customFormat="false" ht="15" hidden="false" customHeight="false" outlineLevel="0" collapsed="false">
      <c r="A9" s="9" t="s">
        <v>148</v>
      </c>
      <c r="B9" s="16" t="n">
        <f aca="false">SUMIFS('Raw Data'!$F$2:$F$114,'Raw Data'!$E$2:$E$114,A9)</f>
        <v>11</v>
      </c>
      <c r="C9" s="37" t="n">
        <f aca="false">SUMIFS('Raw Data'!$F$2:$F$114,'Raw Data'!$E$2:$E$114,$A9,'Raw Data'!$I$2:$I$114,"Kid")</f>
        <v>5</v>
      </c>
      <c r="D9" s="37" t="n">
        <f aca="false">SUMIFS('Raw Data'!$F$2:$F$114,'Raw Data'!$E$2:$E$114,$A9,'Raw Data'!$I$2:$I$114,"Teen")</f>
        <v>1</v>
      </c>
      <c r="E9" s="37" t="n">
        <f aca="false">SUMIFS('Raw Data'!$F$2:$F$114,'Raw Data'!$E$2:$E$114,$A9,'Raw Data'!$I$2:$I$114,"Adult")</f>
        <v>1</v>
      </c>
      <c r="F9" s="37" t="n">
        <f aca="false">B9-SUM(C9:E9)</f>
        <v>4</v>
      </c>
      <c r="G9" s="37" t="n">
        <f aca="false">SUMIFS('Raw Data'!$F$2:$F$114,'Raw Data'!$E$2:$E$114,$A9,'Raw Data'!$J$2:$J$114,"Male")</f>
        <v>1</v>
      </c>
      <c r="H9" s="37" t="n">
        <f aca="false">SUMIFS('Raw Data'!$F$2:$F$114,'Raw Data'!$E$2:$E$114,$A9,'Raw Data'!$J$2:$J$114,"Female")</f>
        <v>7</v>
      </c>
      <c r="I9" s="37" t="n">
        <f aca="false">B9-G9-H9</f>
        <v>3</v>
      </c>
      <c r="J9" s="19" t="n">
        <f aca="false">IF(G9+H9=0,"",G9/(G9+H9))</f>
        <v>0.125</v>
      </c>
    </row>
    <row r="10" customFormat="false" ht="15" hidden="false" customHeight="false" outlineLevel="0" collapsed="false">
      <c r="A10" s="9" t="s">
        <v>150</v>
      </c>
      <c r="B10" s="16" t="n">
        <f aca="false">SUMIFS('Raw Data'!$F$2:$F$114,'Raw Data'!$E$2:$E$114,A10)</f>
        <v>11</v>
      </c>
      <c r="C10" s="37" t="n">
        <f aca="false">SUMIFS('Raw Data'!$F$2:$F$114,'Raw Data'!$E$2:$E$114,$A10,'Raw Data'!$I$2:$I$114,"Kid")</f>
        <v>5</v>
      </c>
      <c r="D10" s="37" t="n">
        <f aca="false">SUMIFS('Raw Data'!$F$2:$F$114,'Raw Data'!$E$2:$E$114,$A10,'Raw Data'!$I$2:$I$114,"Teen")</f>
        <v>1</v>
      </c>
      <c r="E10" s="37" t="n">
        <f aca="false">SUMIFS('Raw Data'!$F$2:$F$114,'Raw Data'!$E$2:$E$114,$A10,'Raw Data'!$I$2:$I$114,"Adult")</f>
        <v>0</v>
      </c>
      <c r="F10" s="37" t="n">
        <f aca="false">B10-SUM(C10:E10)</f>
        <v>5</v>
      </c>
      <c r="G10" s="37" t="n">
        <f aca="false">SUMIFS('Raw Data'!$F$2:$F$114,'Raw Data'!$E$2:$E$114,$A10,'Raw Data'!$J$2:$J$114,"Male")</f>
        <v>2</v>
      </c>
      <c r="H10" s="37" t="n">
        <f aca="false">SUMIFS('Raw Data'!$F$2:$F$114,'Raw Data'!$E$2:$E$114,$A10,'Raw Data'!$J$2:$J$114,"Female")</f>
        <v>4</v>
      </c>
      <c r="I10" s="37" t="n">
        <f aca="false">B10-G10-H10</f>
        <v>5</v>
      </c>
      <c r="J10" s="19" t="n">
        <f aca="false">IF(G10+H10=0,"",G10/(G10+H10))</f>
        <v>0.333333333333333</v>
      </c>
    </row>
    <row r="11" customFormat="false" ht="15" hidden="false" customHeight="false" outlineLevel="0" collapsed="false">
      <c r="A11" s="9" t="s">
        <v>151</v>
      </c>
      <c r="B11" s="16" t="n">
        <f aca="false">SUMIFS('Raw Data'!$F$2:$F$114,'Raw Data'!$E$2:$E$114,A11)</f>
        <v>10</v>
      </c>
      <c r="C11" s="37" t="n">
        <f aca="false">SUMIFS('Raw Data'!$F$2:$F$114,'Raw Data'!$E$2:$E$114,$A11,'Raw Data'!$I$2:$I$114,"Kid")</f>
        <v>6</v>
      </c>
      <c r="D11" s="37" t="n">
        <f aca="false">SUMIFS('Raw Data'!$F$2:$F$114,'Raw Data'!$E$2:$E$114,$A11,'Raw Data'!$I$2:$I$114,"Teen")</f>
        <v>0</v>
      </c>
      <c r="E11" s="37" t="n">
        <f aca="false">SUMIFS('Raw Data'!$F$2:$F$114,'Raw Data'!$E$2:$E$114,$A11,'Raw Data'!$I$2:$I$114,"Adult")</f>
        <v>0</v>
      </c>
      <c r="F11" s="37" t="n">
        <f aca="false">B11-SUM(C11:E11)</f>
        <v>4</v>
      </c>
      <c r="G11" s="37" t="n">
        <f aca="false">SUMIFS('Raw Data'!$F$2:$F$114,'Raw Data'!$E$2:$E$114,$A11,'Raw Data'!$J$2:$J$114,"Male")</f>
        <v>5</v>
      </c>
      <c r="H11" s="37" t="n">
        <f aca="false">SUMIFS('Raw Data'!$F$2:$F$114,'Raw Data'!$E$2:$E$114,$A11,'Raw Data'!$J$2:$J$114,"Female")</f>
        <v>1</v>
      </c>
      <c r="I11" s="37" t="n">
        <f aca="false">B11-G11-H11</f>
        <v>4</v>
      </c>
      <c r="J11" s="19" t="n">
        <f aca="false">IF(G11+H11=0,"",G11/(G11+H11))</f>
        <v>0.833333333333333</v>
      </c>
    </row>
    <row r="12" customFormat="false" ht="15" hidden="false" customHeight="false" outlineLevel="0" collapsed="false">
      <c r="A12" s="9" t="s">
        <v>153</v>
      </c>
      <c r="B12" s="16" t="n">
        <f aca="false">SUMIFS('Raw Data'!$F$2:$F$114,'Raw Data'!$E$2:$E$114,A12)</f>
        <v>8</v>
      </c>
      <c r="C12" s="37" t="n">
        <f aca="false">SUMIFS('Raw Data'!$F$2:$F$114,'Raw Data'!$E$2:$E$114,$A12,'Raw Data'!$I$2:$I$114,"Kid")</f>
        <v>6</v>
      </c>
      <c r="D12" s="37" t="n">
        <f aca="false">SUMIFS('Raw Data'!$F$2:$F$114,'Raw Data'!$E$2:$E$114,$A12,'Raw Data'!$I$2:$I$114,"Teen")</f>
        <v>0</v>
      </c>
      <c r="E12" s="37" t="n">
        <f aca="false">SUMIFS('Raw Data'!$F$2:$F$114,'Raw Data'!$E$2:$E$114,$A12,'Raw Data'!$I$2:$I$114,"Adult")</f>
        <v>1</v>
      </c>
      <c r="F12" s="37" t="n">
        <f aca="false">B12-SUM(C12:E12)</f>
        <v>1</v>
      </c>
      <c r="G12" s="37" t="n">
        <f aca="false">SUMIFS('Raw Data'!$F$2:$F$114,'Raw Data'!$E$2:$E$114,$A12,'Raw Data'!$J$2:$J$114,"Male")</f>
        <v>7</v>
      </c>
      <c r="H12" s="37" t="n">
        <f aca="false">SUMIFS('Raw Data'!$F$2:$F$114,'Raw Data'!$E$2:$E$114,$A12,'Raw Data'!$J$2:$J$114,"Female")</f>
        <v>1</v>
      </c>
      <c r="I12" s="37" t="n">
        <f aca="false">B12-G12-H12</f>
        <v>0</v>
      </c>
      <c r="J12" s="19" t="n">
        <f aca="false">IF(G12+H12=0,"",G12/(G12+H12))</f>
        <v>0.875</v>
      </c>
    </row>
    <row r="13" customFormat="false" ht="15" hidden="false" customHeight="false" outlineLevel="0" collapsed="false">
      <c r="A13" s="9" t="s">
        <v>155</v>
      </c>
      <c r="B13" s="16" t="n">
        <f aca="false">SUMIFS('Raw Data'!$F$2:$F$114,'Raw Data'!$E$2:$E$114,A13)</f>
        <v>8</v>
      </c>
      <c r="C13" s="37" t="n">
        <f aca="false">SUMIFS('Raw Data'!$F$2:$F$114,'Raw Data'!$E$2:$E$114,$A13,'Raw Data'!$I$2:$I$114,"Kid")</f>
        <v>3</v>
      </c>
      <c r="D13" s="37" t="n">
        <f aca="false">SUMIFS('Raw Data'!$F$2:$F$114,'Raw Data'!$E$2:$E$114,$A13,'Raw Data'!$I$2:$I$114,"Teen")</f>
        <v>2</v>
      </c>
      <c r="E13" s="37" t="n">
        <f aca="false">SUMIFS('Raw Data'!$F$2:$F$114,'Raw Data'!$E$2:$E$114,$A13,'Raw Data'!$I$2:$I$114,"Adult")</f>
        <v>0</v>
      </c>
      <c r="F13" s="37" t="n">
        <f aca="false">B13-SUM(C13:E13)</f>
        <v>3</v>
      </c>
      <c r="G13" s="37" t="n">
        <f aca="false">SUMIFS('Raw Data'!$F$2:$F$114,'Raw Data'!$E$2:$E$114,$A13,'Raw Data'!$J$2:$J$114,"Male")</f>
        <v>4</v>
      </c>
      <c r="H13" s="37" t="n">
        <f aca="false">SUMIFS('Raw Data'!$F$2:$F$114,'Raw Data'!$E$2:$E$114,$A13,'Raw Data'!$J$2:$J$114,"Female")</f>
        <v>1</v>
      </c>
      <c r="I13" s="37" t="n">
        <f aca="false">B13-G13-H13</f>
        <v>3</v>
      </c>
      <c r="J13" s="19" t="n">
        <f aca="false">IF(G13+H13=0,"",G13/(G13+H13))</f>
        <v>0.8</v>
      </c>
    </row>
    <row r="14" customFormat="false" ht="15" hidden="false" customHeight="false" outlineLevel="0" collapsed="false">
      <c r="A14" s="9" t="s">
        <v>156</v>
      </c>
      <c r="B14" s="16" t="n">
        <f aca="false">SUMIFS('Raw Data'!$F$2:$F$114,'Raw Data'!$E$2:$E$114,A14)</f>
        <v>6</v>
      </c>
      <c r="C14" s="37" t="n">
        <f aca="false">SUMIFS('Raw Data'!$F$2:$F$114,'Raw Data'!$E$2:$E$114,$A14,'Raw Data'!$I$2:$I$114,"Kid")</f>
        <v>1</v>
      </c>
      <c r="D14" s="37" t="n">
        <f aca="false">SUMIFS('Raw Data'!$F$2:$F$114,'Raw Data'!$E$2:$E$114,$A14,'Raw Data'!$I$2:$I$114,"Teen")</f>
        <v>0</v>
      </c>
      <c r="E14" s="37" t="n">
        <f aca="false">SUMIFS('Raw Data'!$F$2:$F$114,'Raw Data'!$E$2:$E$114,$A14,'Raw Data'!$I$2:$I$114,"Adult")</f>
        <v>2</v>
      </c>
      <c r="F14" s="37" t="n">
        <f aca="false">B14-SUM(C14:E14)</f>
        <v>3</v>
      </c>
      <c r="G14" s="37" t="n">
        <f aca="false">SUMIFS('Raw Data'!$F$2:$F$114,'Raw Data'!$E$2:$E$114,$A14,'Raw Data'!$J$2:$J$114,"Male")</f>
        <v>0</v>
      </c>
      <c r="H14" s="37" t="n">
        <f aca="false">SUMIFS('Raw Data'!$F$2:$F$114,'Raw Data'!$E$2:$E$114,$A14,'Raw Data'!$J$2:$J$114,"Female")</f>
        <v>3</v>
      </c>
      <c r="I14" s="37" t="n">
        <f aca="false">B14-G14-H14</f>
        <v>3</v>
      </c>
      <c r="J14" s="19" t="n">
        <f aca="false">IF(G14+H14=0,"",G14/(G14+H14))</f>
        <v>0</v>
      </c>
    </row>
    <row r="15" customFormat="false" ht="15" hidden="false" customHeight="false" outlineLevel="0" collapsed="false">
      <c r="A15" s="9" t="s">
        <v>158</v>
      </c>
      <c r="B15" s="16" t="n">
        <f aca="false">SUMIFS('Raw Data'!$F$2:$F$114,'Raw Data'!$E$2:$E$114,A15)</f>
        <v>3</v>
      </c>
      <c r="C15" s="37" t="n">
        <f aca="false">SUMIFS('Raw Data'!$F$2:$F$114,'Raw Data'!$E$2:$E$114,$A15,'Raw Data'!$I$2:$I$114,"Kid")</f>
        <v>0</v>
      </c>
      <c r="D15" s="37" t="n">
        <f aca="false">SUMIFS('Raw Data'!$F$2:$F$114,'Raw Data'!$E$2:$E$114,$A15,'Raw Data'!$I$2:$I$114,"Teen")</f>
        <v>2</v>
      </c>
      <c r="E15" s="37" t="n">
        <f aca="false">SUMIFS('Raw Data'!$F$2:$F$114,'Raw Data'!$E$2:$E$114,$A15,'Raw Data'!$I$2:$I$114,"Adult")</f>
        <v>0</v>
      </c>
      <c r="F15" s="37" t="n">
        <f aca="false">B15-SUM(C15:E15)</f>
        <v>1</v>
      </c>
      <c r="G15" s="37" t="n">
        <f aca="false">SUMIFS('Raw Data'!$F$2:$F$114,'Raw Data'!$E$2:$E$114,$A15,'Raw Data'!$J$2:$J$114,"Male")</f>
        <v>0</v>
      </c>
      <c r="H15" s="37" t="n">
        <f aca="false">SUMIFS('Raw Data'!$F$2:$F$114,'Raw Data'!$E$2:$E$114,$A15,'Raw Data'!$J$2:$J$114,"Female")</f>
        <v>2</v>
      </c>
      <c r="I15" s="37" t="n">
        <f aca="false">B15-G15-H15</f>
        <v>1</v>
      </c>
      <c r="J15" s="19" t="n">
        <f aca="false">IF(G15+H15=0,"",G15/(G15+H15))</f>
        <v>0</v>
      </c>
    </row>
    <row r="16" customFormat="false" ht="15" hidden="false" customHeight="false" outlineLevel="0" collapsed="false">
      <c r="A16" s="9" t="s">
        <v>159</v>
      </c>
      <c r="B16" s="16" t="n">
        <f aca="false">SUMIFS('Raw Data'!$F$2:$F$114,'Raw Data'!$E$2:$E$114,A16)</f>
        <v>2</v>
      </c>
      <c r="C16" s="37" t="n">
        <f aca="false">SUMIFS('Raw Data'!$F$2:$F$114,'Raw Data'!$E$2:$E$114,$A16,'Raw Data'!$I$2:$I$114,"Kid")</f>
        <v>0</v>
      </c>
      <c r="D16" s="37" t="n">
        <f aca="false">SUMIFS('Raw Data'!$F$2:$F$114,'Raw Data'!$E$2:$E$114,$A16,'Raw Data'!$I$2:$I$114,"Teen")</f>
        <v>1</v>
      </c>
      <c r="E16" s="37" t="n">
        <f aca="false">SUMIFS('Raw Data'!$F$2:$F$114,'Raw Data'!$E$2:$E$114,$A16,'Raw Data'!$I$2:$I$114,"Adult")</f>
        <v>0</v>
      </c>
      <c r="F16" s="37" t="n">
        <f aca="false">B16-SUM(C16:E16)</f>
        <v>1</v>
      </c>
      <c r="G16" s="37" t="n">
        <f aca="false">SUMIFS('Raw Data'!$F$2:$F$114,'Raw Data'!$E$2:$E$114,$A16,'Raw Data'!$J$2:$J$114,"Male")</f>
        <v>0</v>
      </c>
      <c r="H16" s="37" t="n">
        <f aca="false">SUMIFS('Raw Data'!$F$2:$F$114,'Raw Data'!$E$2:$E$114,$A16,'Raw Data'!$J$2:$J$114,"Female")</f>
        <v>1</v>
      </c>
      <c r="I16" s="37" t="n">
        <f aca="false">B16-G16-H16</f>
        <v>1</v>
      </c>
      <c r="J16" s="19" t="n">
        <f aca="false">IF(G16+H16=0,"",G16/(G16+H16))</f>
        <v>0</v>
      </c>
    </row>
    <row r="17" customFormat="false" ht="15" hidden="false" customHeight="false" outlineLevel="0" collapsed="false">
      <c r="A17" s="9" t="s">
        <v>163</v>
      </c>
      <c r="B17" s="16" t="n">
        <f aca="false">SUMIFS('Raw Data'!$F$2:$F$114,'Raw Data'!$E$2:$E$114,A17)</f>
        <v>1</v>
      </c>
      <c r="C17" s="37" t="n">
        <f aca="false">SUMIFS('Raw Data'!$F$2:$F$114,'Raw Data'!$E$2:$E$114,$A17,'Raw Data'!$I$2:$I$114,"Kid")</f>
        <v>1</v>
      </c>
      <c r="D17" s="37" t="n">
        <f aca="false">SUMIFS('Raw Data'!$F$2:$F$114,'Raw Data'!$E$2:$E$114,$A17,'Raw Data'!$I$2:$I$114,"Teen")</f>
        <v>0</v>
      </c>
      <c r="E17" s="37" t="n">
        <f aca="false">SUMIFS('Raw Data'!$F$2:$F$114,'Raw Data'!$E$2:$E$114,$A17,'Raw Data'!$I$2:$I$114,"Adult")</f>
        <v>0</v>
      </c>
      <c r="F17" s="37" t="n">
        <f aca="false">B17-SUM(C17:E17)</f>
        <v>0</v>
      </c>
      <c r="G17" s="37" t="n">
        <f aca="false">SUMIFS('Raw Data'!$F$2:$F$114,'Raw Data'!$E$2:$E$114,$A17,'Raw Data'!$J$2:$J$114,"Male")</f>
        <v>0</v>
      </c>
      <c r="H17" s="37" t="n">
        <f aca="false">SUMIFS('Raw Data'!$F$2:$F$114,'Raw Data'!$E$2:$E$114,$A17,'Raw Data'!$J$2:$J$114,"Female")</f>
        <v>0</v>
      </c>
      <c r="I17" s="37" t="n">
        <f aca="false">B17-G17-H17</f>
        <v>1</v>
      </c>
      <c r="J17" s="19" t="str">
        <f aca="false">IF(G17+H17=0,"",G17/(G17+H17))</f>
        <v/>
      </c>
    </row>
    <row r="18" customFormat="false" ht="15" hidden="false" customHeight="false" outlineLevel="0" collapsed="false">
      <c r="A18" s="9" t="s">
        <v>246</v>
      </c>
      <c r="B18" s="16" t="n">
        <f aca="false">SUMIFS('Raw Data'!$F$2:$F$114,'Raw Data'!$E$2:$E$114,A18)</f>
        <v>3</v>
      </c>
      <c r="C18" s="37" t="n">
        <f aca="false">SUMIFS('Raw Data'!$F$2:$F$114,'Raw Data'!$E$2:$E$114,$A18,'Raw Data'!$I$2:$I$114,"Kid")</f>
        <v>1</v>
      </c>
      <c r="D18" s="37" t="n">
        <f aca="false">SUMIFS('Raw Data'!$F$2:$F$114,'Raw Data'!$E$2:$E$114,$A18,'Raw Data'!$I$2:$I$114,"Teen")</f>
        <v>0</v>
      </c>
      <c r="E18" s="37" t="n">
        <f aca="false">SUMIFS('Raw Data'!$F$2:$F$114,'Raw Data'!$E$2:$E$114,$A18,'Raw Data'!$I$2:$I$114,"Adult")</f>
        <v>0</v>
      </c>
      <c r="F18" s="37" t="n">
        <f aca="false">B18-SUM(C18:E18)</f>
        <v>2</v>
      </c>
      <c r="G18" s="37" t="n">
        <f aca="false">SUMIFS('Raw Data'!$F$2:$F$114,'Raw Data'!$E$2:$E$114,$A18,'Raw Data'!$J$2:$J$114,"Male")</f>
        <v>1</v>
      </c>
      <c r="H18" s="37" t="n">
        <f aca="false">SUMIFS('Raw Data'!$F$2:$F$114,'Raw Data'!$E$2:$E$114,$A18,'Raw Data'!$J$2:$J$114,"Female")</f>
        <v>0</v>
      </c>
      <c r="I18" s="37" t="n">
        <f aca="false">B18-G18-H18</f>
        <v>2</v>
      </c>
      <c r="J18" s="19" t="n">
        <f aca="false">IF(G18+H18=0,"",G18/(G18+H18))</f>
        <v>1</v>
      </c>
    </row>
    <row r="19" customFormat="false" ht="15" hidden="false" customHeight="false" outlineLevel="0" collapsed="false">
      <c r="A19" s="9" t="s">
        <v>247</v>
      </c>
      <c r="B19" s="16" t="n">
        <f aca="false">SUMIFS('Raw Data'!$F$2:$F$114,'Raw Data'!$E$2:$E$114,A19)</f>
        <v>2</v>
      </c>
      <c r="C19" s="37" t="n">
        <f aca="false">SUMIFS('Raw Data'!$F$2:$F$114,'Raw Data'!$E$2:$E$114,$A19,'Raw Data'!$I$2:$I$114,"Kid")</f>
        <v>2</v>
      </c>
      <c r="D19" s="37" t="n">
        <f aca="false">SUMIFS('Raw Data'!$F$2:$F$114,'Raw Data'!$E$2:$E$114,$A19,'Raw Data'!$I$2:$I$114,"Teen")</f>
        <v>0</v>
      </c>
      <c r="E19" s="37" t="n">
        <f aca="false">SUMIFS('Raw Data'!$F$2:$F$114,'Raw Data'!$E$2:$E$114,$A19,'Raw Data'!$I$2:$I$114,"Adult")</f>
        <v>0</v>
      </c>
      <c r="F19" s="37" t="n">
        <f aca="false">B19-SUM(C19:E19)</f>
        <v>0</v>
      </c>
      <c r="G19" s="37" t="n">
        <f aca="false">SUMIFS('Raw Data'!$F$2:$F$114,'Raw Data'!$E$2:$E$114,$A19,'Raw Data'!$J$2:$J$114,"Male")</f>
        <v>2</v>
      </c>
      <c r="H19" s="37" t="n">
        <f aca="false">SUMIFS('Raw Data'!$F$2:$F$114,'Raw Data'!$E$2:$E$114,$A19,'Raw Data'!$J$2:$J$114,"Female")</f>
        <v>0</v>
      </c>
      <c r="I19" s="37" t="n">
        <f aca="false">B19-G19-H19</f>
        <v>0</v>
      </c>
      <c r="J19" s="19" t="n">
        <f aca="false">IF(G19+H19=0,"",G19/(G19+H19))</f>
        <v>1</v>
      </c>
    </row>
    <row r="20" customFormat="false" ht="15" hidden="false" customHeight="false" outlineLevel="0" collapsed="false">
      <c r="A20" s="29" t="s">
        <v>175</v>
      </c>
      <c r="B20" s="8" t="n">
        <f aca="false">SUM(B5:B19)</f>
        <v>134</v>
      </c>
      <c r="C20" s="8" t="n">
        <f aca="false">SUM(C5:C19)</f>
        <v>56</v>
      </c>
      <c r="D20" s="8" t="n">
        <f aca="false">SUM(D5:D19)</f>
        <v>19</v>
      </c>
      <c r="E20" s="8" t="n">
        <f aca="false">SUM(E5:E19)</f>
        <v>8</v>
      </c>
      <c r="F20" s="8" t="n">
        <f aca="false">SUM(F5:F19)</f>
        <v>51</v>
      </c>
      <c r="G20" s="8" t="n">
        <f aca="false">SUM(G5:G19)</f>
        <v>54</v>
      </c>
      <c r="H20" s="8" t="n">
        <f aca="false">SUM(H5:H19)</f>
        <v>36</v>
      </c>
      <c r="I20" s="8" t="n">
        <f aca="false">SUM(I5:I19)</f>
        <v>44</v>
      </c>
      <c r="J20" s="32" t="n">
        <f aca="false">G20/(G20+H20)</f>
        <v>0.6</v>
      </c>
    </row>
    <row r="23" customFormat="false" ht="15" hidden="false" customHeight="false" outlineLevel="0" collapsed="false">
      <c r="A23" s="3" t="s">
        <v>259</v>
      </c>
    </row>
    <row r="24" customFormat="false" ht="15" hidden="false" customHeight="false" outlineLevel="0" collapsed="false">
      <c r="A24" s="7" t="s">
        <v>126</v>
      </c>
      <c r="B24" s="7" t="s">
        <v>251</v>
      </c>
      <c r="C24" s="7" t="s">
        <v>252</v>
      </c>
      <c r="D24" s="7" t="s">
        <v>253</v>
      </c>
      <c r="E24" s="7" t="s">
        <v>255</v>
      </c>
      <c r="F24" s="7" t="s">
        <v>256</v>
      </c>
      <c r="G24" s="7" t="s">
        <v>260</v>
      </c>
    </row>
    <row r="25" customFormat="false" ht="15" hidden="false" customHeight="false" outlineLevel="0" collapsed="false">
      <c r="A25" s="9" t="s">
        <v>138</v>
      </c>
      <c r="B25" s="19" t="n">
        <f aca="false">SUMIFS('Raw Data'!$F$2:$F$114,'Raw Data'!$L$2:$L$114,$A25,'Raw Data'!$I$2:$I$114,"Kid")/SUMIFS('Raw Data'!$F$2:$F$114,'Raw Data'!$I$2:$I$114,"Kid")</f>
        <v>0.428571428571429</v>
      </c>
      <c r="C25" s="19" t="n">
        <f aca="false">SUMIFS('Raw Data'!$F$2:$F$114,'Raw Data'!$L$2:$L$114,$A25,'Raw Data'!$I$2:$I$114,"Teen")/SUMIFS('Raw Data'!$F$2:$F$114,'Raw Data'!$I$2:$I$114,"Teen")</f>
        <v>0.578947368421053</v>
      </c>
      <c r="D25" s="19" t="n">
        <f aca="false">SUMIFS('Raw Data'!$F$2:$F$114,'Raw Data'!$L$2:$L$114,$A25,'Raw Data'!$I$2:$I$114,"Adult")/SUMIFS('Raw Data'!$F$2:$F$114,'Raw Data'!$I$2:$I$114,"Adult")</f>
        <v>0.75</v>
      </c>
      <c r="E25" s="19" t="n">
        <f aca="false">SUMIFS('Raw Data'!$F$2:$F$114,'Raw Data'!$L$2:$L$114,$A25,'Raw Data'!$J$2:$J$114,"Male")/SUMIFS('Raw Data'!$F$2:$F$114,'Raw Data'!$J$2:$J$114,"Male")</f>
        <v>0.388888888888889</v>
      </c>
      <c r="F25" s="19" t="n">
        <f aca="false">SUMIFS('Raw Data'!$F$2:$F$114,'Raw Data'!$L$2:$L$114,$A25,'Raw Data'!$J$2:$J$114,"Female")/SUMIFS('Raw Data'!$F$2:$F$114,'Raw Data'!$J$2:$J$114,"Female")</f>
        <v>0.638888888888889</v>
      </c>
      <c r="G25" s="19" t="n">
        <f aca="false">SUMIFS('Raw Data'!$F$2:$F$114,'Raw Data'!$L$2:$L$114,$A25)/SUM('Raw Data'!$F$2:$F$114)</f>
        <v>0.477611940298507</v>
      </c>
    </row>
    <row r="26" customFormat="false" ht="15" hidden="false" customHeight="false" outlineLevel="0" collapsed="false">
      <c r="A26" s="9" t="s">
        <v>146</v>
      </c>
      <c r="B26" s="19" t="n">
        <f aca="false">SUMIFS('Raw Data'!$F$2:$F$114,'Raw Data'!$L$2:$L$114,$A26,'Raw Data'!$I$2:$I$114,"Kid")/SUMIFS('Raw Data'!$F$2:$F$114,'Raw Data'!$I$2:$I$114,"Kid")</f>
        <v>0.25</v>
      </c>
      <c r="C26" s="19" t="n">
        <f aca="false">SUMIFS('Raw Data'!$F$2:$F$114,'Raw Data'!$L$2:$L$114,$A26,'Raw Data'!$I$2:$I$114,"Teen")/SUMIFS('Raw Data'!$F$2:$F$114,'Raw Data'!$I$2:$I$114,"Teen")</f>
        <v>0.210526315789474</v>
      </c>
      <c r="D26" s="19" t="n">
        <f aca="false">SUMIFS('Raw Data'!$F$2:$F$114,'Raw Data'!$L$2:$L$114,$A26,'Raw Data'!$I$2:$I$114,"Adult")/SUMIFS('Raw Data'!$F$2:$F$114,'Raw Data'!$I$2:$I$114,"Adult")</f>
        <v>0</v>
      </c>
      <c r="E26" s="19" t="n">
        <f aca="false">SUMIFS('Raw Data'!$F$2:$F$114,'Raw Data'!$L$2:$L$114,$A26,'Raw Data'!$J$2:$J$114,"Male")/SUMIFS('Raw Data'!$F$2:$F$114,'Raw Data'!$J$2:$J$114,"Male")</f>
        <v>0.222222222222222</v>
      </c>
      <c r="F26" s="19" t="n">
        <f aca="false">SUMIFS('Raw Data'!$F$2:$F$114,'Raw Data'!$L$2:$L$114,$A26,'Raw Data'!$J$2:$J$114,"Female")/SUMIFS('Raw Data'!$F$2:$F$114,'Raw Data'!$J$2:$J$114,"Female")</f>
        <v>0.25</v>
      </c>
      <c r="G26" s="19" t="n">
        <f aca="false">SUMIFS('Raw Data'!$F$2:$F$114,'Raw Data'!$L$2:$L$114,$A26)/SUM('Raw Data'!$F$2:$F$114)</f>
        <v>0.276119402985075</v>
      </c>
    </row>
    <row r="27" customFormat="false" ht="15" hidden="false" customHeight="false" outlineLevel="0" collapsed="false">
      <c r="A27" s="9" t="s">
        <v>143</v>
      </c>
      <c r="B27" s="19" t="n">
        <f aca="false">SUMIFS('Raw Data'!$F$2:$F$114,'Raw Data'!$L$2:$L$114,$A27,'Raw Data'!$I$2:$I$114,"Kid")/SUMIFS('Raw Data'!$F$2:$F$114,'Raw Data'!$I$2:$I$114,"Kid")</f>
        <v>0.160714285714286</v>
      </c>
      <c r="C27" s="19" t="n">
        <f aca="false">SUMIFS('Raw Data'!$F$2:$F$114,'Raw Data'!$L$2:$L$114,$A27,'Raw Data'!$I$2:$I$114,"Teen")/SUMIFS('Raw Data'!$F$2:$F$114,'Raw Data'!$I$2:$I$114,"Teen")</f>
        <v>0.157894736842105</v>
      </c>
      <c r="D27" s="19" t="n">
        <f aca="false">SUMIFS('Raw Data'!$F$2:$F$114,'Raw Data'!$L$2:$L$114,$A27,'Raw Data'!$I$2:$I$114,"Adult")/SUMIFS('Raw Data'!$F$2:$F$114,'Raw Data'!$I$2:$I$114,"Adult")</f>
        <v>0.125</v>
      </c>
      <c r="E27" s="19" t="n">
        <f aca="false">SUMIFS('Raw Data'!$F$2:$F$114,'Raw Data'!$L$2:$L$114,$A27,'Raw Data'!$J$2:$J$114,"Male")/SUMIFS('Raw Data'!$F$2:$F$114,'Raw Data'!$J$2:$J$114,"Male")</f>
        <v>0.203703703703704</v>
      </c>
      <c r="F27" s="19" t="n">
        <f aca="false">SUMIFS('Raw Data'!$F$2:$F$114,'Raw Data'!$L$2:$L$114,$A27,'Raw Data'!$J$2:$J$114,"Female")/SUMIFS('Raw Data'!$F$2:$F$114,'Raw Data'!$J$2:$J$114,"Female")</f>
        <v>0.0555555555555556</v>
      </c>
      <c r="G27" s="19" t="n">
        <f aca="false">SUMIFS('Raw Data'!$F$2:$F$114,'Raw Data'!$L$2:$L$114,$A27)/SUM('Raw Data'!$F$2:$F$114)</f>
        <v>0.134328358208955</v>
      </c>
    </row>
    <row r="28" customFormat="false" ht="15" hidden="false" customHeight="false" outlineLevel="0" collapsed="false">
      <c r="A28" s="9" t="s">
        <v>154</v>
      </c>
      <c r="B28" s="19" t="n">
        <f aca="false">SUMIFS('Raw Data'!$F$2:$F$114,'Raw Data'!$L$2:$L$114,$A28,'Raw Data'!$I$2:$I$114,"Kid")/SUMIFS('Raw Data'!$F$2:$F$114,'Raw Data'!$I$2:$I$114,"Kid")</f>
        <v>0.107142857142857</v>
      </c>
      <c r="C28" s="19" t="n">
        <f aca="false">SUMIFS('Raw Data'!$F$2:$F$114,'Raw Data'!$L$2:$L$114,$A28,'Raw Data'!$I$2:$I$114,"Teen")/SUMIFS('Raw Data'!$F$2:$F$114,'Raw Data'!$I$2:$I$114,"Teen")</f>
        <v>0.0526315789473684</v>
      </c>
      <c r="D28" s="19" t="n">
        <f aca="false">SUMIFS('Raw Data'!$F$2:$F$114,'Raw Data'!$L$2:$L$114,$A28,'Raw Data'!$I$2:$I$114,"Adult")/SUMIFS('Raw Data'!$F$2:$F$114,'Raw Data'!$I$2:$I$114,"Adult")</f>
        <v>0.125</v>
      </c>
      <c r="E28" s="19" t="n">
        <f aca="false">SUMIFS('Raw Data'!$F$2:$F$114,'Raw Data'!$L$2:$L$114,$A28,'Raw Data'!$J$2:$J$114,"Male")/SUMIFS('Raw Data'!$F$2:$F$114,'Raw Data'!$J$2:$J$114,"Male")</f>
        <v>0.12962962962963</v>
      </c>
      <c r="F28" s="19" t="n">
        <f aca="false">SUMIFS('Raw Data'!$F$2:$F$114,'Raw Data'!$L$2:$L$114,$A28,'Raw Data'!$J$2:$J$114,"Female")/SUMIFS('Raw Data'!$F$2:$F$114,'Raw Data'!$J$2:$J$114,"Female")</f>
        <v>0.0555555555555556</v>
      </c>
      <c r="G28" s="19" t="n">
        <f aca="false">SUMIFS('Raw Data'!$F$2:$F$114,'Raw Data'!$L$2:$L$114,$A28)/SUM('Raw Data'!$F$2:$F$114)</f>
        <v>0.0746268656716418</v>
      </c>
    </row>
    <row r="29" customFormat="false" ht="15" hidden="false" customHeight="false" outlineLevel="0" collapsed="false">
      <c r="A29" s="9" t="s">
        <v>65</v>
      </c>
      <c r="B29" s="19" t="n">
        <f aca="false">SUMIFS('Raw Data'!$F$2:$F$114,'Raw Data'!$L$2:$L$114,$A29,'Raw Data'!$I$2:$I$114,"Kid")/SUMIFS('Raw Data'!$F$2:$F$114,'Raw Data'!$I$2:$I$114,"Kid")</f>
        <v>0.0535714285714286</v>
      </c>
      <c r="C29" s="19" t="n">
        <f aca="false">SUMIFS('Raw Data'!$F$2:$F$114,'Raw Data'!$L$2:$L$114,$A29,'Raw Data'!$I$2:$I$114,"Teen")/SUMIFS('Raw Data'!$F$2:$F$114,'Raw Data'!$I$2:$I$114,"Teen")</f>
        <v>0</v>
      </c>
      <c r="D29" s="19" t="n">
        <f aca="false">SUMIFS('Raw Data'!$F$2:$F$114,'Raw Data'!$L$2:$L$114,$A29,'Raw Data'!$I$2:$I$114,"Adult")/SUMIFS('Raw Data'!$F$2:$F$114,'Raw Data'!$I$2:$I$114,"Adult")</f>
        <v>0</v>
      </c>
      <c r="E29" s="19" t="n">
        <f aca="false">SUMIFS('Raw Data'!$F$2:$F$114,'Raw Data'!$L$2:$L$114,$A29,'Raw Data'!$J$2:$J$114,"Male")/SUMIFS('Raw Data'!$F$2:$F$114,'Raw Data'!$J$2:$J$114,"Male")</f>
        <v>0.0555555555555556</v>
      </c>
      <c r="F29" s="19" t="n">
        <f aca="false">SUMIFS('Raw Data'!$F$2:$F$114,'Raw Data'!$L$2:$L$114,$A29,'Raw Data'!$J$2:$J$114,"Female")/SUMIFS('Raw Data'!$F$2:$F$114,'Raw Data'!$J$2:$J$114,"Female")</f>
        <v>0</v>
      </c>
      <c r="G29" s="19" t="n">
        <f aca="false">SUMIFS('Raw Data'!$F$2:$F$114,'Raw Data'!$L$2:$L$114,$A29)/SUM('Raw Data'!$F$2:$F$114)</f>
        <v>0.0373134328358209</v>
      </c>
    </row>
    <row r="31" customFormat="false" ht="15" hidden="false" customHeight="false" outlineLevel="0" collapsed="false">
      <c r="A31" s="3" t="s">
        <v>261</v>
      </c>
    </row>
    <row r="32" customFormat="false" ht="23.85" hidden="false" customHeight="false" outlineLevel="0" collapsed="false">
      <c r="A32" s="7" t="s">
        <v>262</v>
      </c>
      <c r="B32" s="7" t="s">
        <v>92</v>
      </c>
      <c r="C32" s="7" t="s">
        <v>263</v>
      </c>
    </row>
    <row r="33" customFormat="false" ht="15" hidden="false" customHeight="false" outlineLevel="0" collapsed="false">
      <c r="A33" s="9" t="s">
        <v>251</v>
      </c>
      <c r="B33" s="16" t="n">
        <f aca="false">COUNTIF(Baskets!$E$2:$E$70,"Kid")</f>
        <v>32</v>
      </c>
      <c r="C33" s="19" t="n">
        <f aca="false">B33/COUNTA(Baskets!$A$2:$A$70)</f>
        <v>0.463768115942029</v>
      </c>
    </row>
    <row r="34" customFormat="false" ht="15" hidden="false" customHeight="false" outlineLevel="0" collapsed="false">
      <c r="A34" s="9" t="s">
        <v>252</v>
      </c>
      <c r="B34" s="16" t="n">
        <f aca="false">COUNTIF(Baskets!$E$2:$E$70,"Teen")</f>
        <v>9</v>
      </c>
      <c r="C34" s="19" t="n">
        <f aca="false">B34/COUNTA(Baskets!$A$2:$A$70)</f>
        <v>0.130434782608696</v>
      </c>
    </row>
    <row r="35" customFormat="false" ht="15" hidden="false" customHeight="false" outlineLevel="0" collapsed="false">
      <c r="A35" s="9" t="s">
        <v>253</v>
      </c>
      <c r="B35" s="16" t="n">
        <f aca="false">COUNTIF(Baskets!$E$2:$E$70,"Adult")</f>
        <v>4</v>
      </c>
      <c r="C35" s="19" t="n">
        <f aca="false">B35/COUNTA(Baskets!$A$2:$A$70)</f>
        <v>0.0579710144927536</v>
      </c>
    </row>
    <row r="36" customFormat="false" ht="15" hidden="false" customHeight="false" outlineLevel="0" collapsed="false">
      <c r="A36" s="9" t="s">
        <v>255</v>
      </c>
      <c r="B36" s="16" t="n">
        <f aca="false">COUNTIF(Baskets!$F$2:$F$70,"Male")</f>
        <v>28</v>
      </c>
      <c r="C36" s="19" t="n">
        <f aca="false">B36/COUNTA(Baskets!$A$2:$A$70)</f>
        <v>0.405797101449275</v>
      </c>
    </row>
    <row r="37" customFormat="false" ht="15" hidden="false" customHeight="false" outlineLevel="0" collapsed="false">
      <c r="A37" s="9" t="s">
        <v>256</v>
      </c>
      <c r="B37" s="16" t="n">
        <f aca="false">COUNTIF(Baskets!$F$2:$F$70,"Female")</f>
        <v>18</v>
      </c>
      <c r="C37" s="19" t="n">
        <f aca="false">B37/COUNTA(Baskets!$A$2:$A$70)</f>
        <v>0.260869565217391</v>
      </c>
    </row>
    <row r="38" customFormat="false" ht="15" hidden="false" customHeight="false" outlineLevel="0" collapsed="false">
      <c r="A38" s="17" t="s">
        <v>264</v>
      </c>
      <c r="B38" s="16" t="n">
        <f aca="false">COUNTA(Baskets!$A$2:$A$70)-SUM(B33:B35)</f>
        <v>24</v>
      </c>
      <c r="C38" s="19" t="n">
        <f aca="false">B38/COUNTA(Baskets!$A$2:$A$70)</f>
        <v>0.347826086956522</v>
      </c>
    </row>
    <row r="39" customFormat="false" ht="15" hidden="false" customHeight="false" outlineLevel="0" collapsed="false">
      <c r="A39" s="17" t="s">
        <v>265</v>
      </c>
      <c r="B39" s="16" t="n">
        <f aca="false">COUNTA(Baskets!$A$2:$A$70)-SUM(B36:B37)</f>
        <v>23</v>
      </c>
      <c r="C39" s="19" t="n">
        <f aca="false">B39/COUNTA(Baskets!$A$2:$A$70)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5" min="3" style="0" width="9"/>
  </cols>
  <sheetData>
    <row r="1" customFormat="false" ht="17.35" hidden="false" customHeight="false" outlineLevel="0" collapsed="false">
      <c r="A1" s="1" t="s">
        <v>266</v>
      </c>
    </row>
    <row r="2" customFormat="false" ht="15" hidden="false" customHeight="false" outlineLevel="0" collapsed="false">
      <c r="A2" s="2" t="s">
        <v>267</v>
      </c>
    </row>
    <row r="4" customFormat="false" ht="15" hidden="false" customHeight="false" outlineLevel="0" collapsed="false">
      <c r="A4" s="7" t="s">
        <v>179</v>
      </c>
      <c r="B4" s="7" t="s">
        <v>180</v>
      </c>
      <c r="C4" s="7" t="s">
        <v>92</v>
      </c>
      <c r="D4" s="7" t="s">
        <v>268</v>
      </c>
      <c r="E4" s="7" t="s">
        <v>269</v>
      </c>
    </row>
    <row r="5" customFormat="false" ht="15" hidden="false" customHeight="false" outlineLevel="0" collapsed="false">
      <c r="A5" s="21" t="n">
        <v>46312.4166666667</v>
      </c>
      <c r="B5" s="21" t="n">
        <f aca="false">A5+TIME(0,30,0)</f>
        <v>46312.4375</v>
      </c>
      <c r="C5" s="16" t="n">
        <f aca="false">COUNTIFS(Baskets!$C$2:$C$70,"&gt;="&amp;A5,Baskets!$C$2:$C$70,"&lt;"&amp;B5)</f>
        <v>7</v>
      </c>
      <c r="D5" s="16" t="n">
        <f aca="false">SUMIFS(Baskets!$G$2:$G$70,Baskets!$C$2:$C$70,"&gt;="&amp;A5,Baskets!$C$2:$C$70,"&lt;"&amp;B5)</f>
        <v>46</v>
      </c>
      <c r="E5" s="16" t="n">
        <f aca="false">SUMIFS(Baskets!$H$2:$H$70,Baskets!$C$2:$C$70,"&gt;="&amp;A5,Baskets!$C$2:$C$70,"&lt;"&amp;B5)</f>
        <v>13</v>
      </c>
    </row>
    <row r="6" customFormat="false" ht="15" hidden="false" customHeight="false" outlineLevel="0" collapsed="false">
      <c r="A6" s="21" t="n">
        <v>46312.4375</v>
      </c>
      <c r="B6" s="21" t="n">
        <f aca="false">A6+TIME(0,30,0)</f>
        <v>46312.4583333333</v>
      </c>
      <c r="C6" s="16" t="n">
        <f aca="false">COUNTIFS(Baskets!$C$2:$C$70,"&gt;="&amp;A6,Baskets!$C$2:$C$70,"&lt;"&amp;B6)</f>
        <v>11</v>
      </c>
      <c r="D6" s="16" t="n">
        <f aca="false">SUMIFS(Baskets!$G$2:$G$70,Baskets!$C$2:$C$70,"&gt;="&amp;A6,Baskets!$C$2:$C$70,"&lt;"&amp;B6)</f>
        <v>79</v>
      </c>
      <c r="E6" s="16" t="n">
        <f aca="false">SUMIFS(Baskets!$H$2:$H$70,Baskets!$C$2:$C$70,"&gt;="&amp;A6,Baskets!$C$2:$C$70,"&lt;"&amp;B6)</f>
        <v>22</v>
      </c>
    </row>
    <row r="7" customFormat="false" ht="15" hidden="false" customHeight="false" outlineLevel="0" collapsed="false">
      <c r="A7" s="21" t="n">
        <v>46312.4583333333</v>
      </c>
      <c r="B7" s="21" t="n">
        <f aca="false">A7+TIME(0,30,0)</f>
        <v>46312.4791666667</v>
      </c>
      <c r="C7" s="16" t="n">
        <f aca="false">COUNTIFS(Baskets!$C$2:$C$70,"&gt;="&amp;A7,Baskets!$C$2:$C$70,"&lt;"&amp;B7)</f>
        <v>21</v>
      </c>
      <c r="D7" s="16" t="n">
        <f aca="false">SUMIFS(Baskets!$G$2:$G$70,Baskets!$C$2:$C$70,"&gt;="&amp;A7,Baskets!$C$2:$C$70,"&lt;"&amp;B7)</f>
        <v>109</v>
      </c>
      <c r="E7" s="16" t="n">
        <f aca="false">SUMIFS(Baskets!$H$2:$H$70,Baskets!$C$2:$C$70,"&gt;="&amp;A7,Baskets!$C$2:$C$70,"&lt;"&amp;B7)</f>
        <v>29</v>
      </c>
    </row>
    <row r="8" customFormat="false" ht="15" hidden="false" customHeight="false" outlineLevel="0" collapsed="false">
      <c r="A8" s="21" t="n">
        <v>46312.4791666667</v>
      </c>
      <c r="B8" s="21" t="n">
        <f aca="false">A8+TIME(0,30,0)</f>
        <v>46312.5</v>
      </c>
      <c r="C8" s="16" t="n">
        <f aca="false">COUNTIFS(Baskets!$C$2:$C$70,"&gt;="&amp;A8,Baskets!$C$2:$C$70,"&lt;"&amp;B8)</f>
        <v>12</v>
      </c>
      <c r="D8" s="16" t="n">
        <f aca="false">SUMIFS(Baskets!$G$2:$G$70,Baskets!$C$2:$C$70,"&gt;="&amp;A8,Baskets!$C$2:$C$70,"&lt;"&amp;B8)</f>
        <v>88</v>
      </c>
      <c r="E8" s="16" t="n">
        <f aca="false">SUMIFS(Baskets!$H$2:$H$70,Baskets!$C$2:$C$70,"&gt;="&amp;A8,Baskets!$C$2:$C$70,"&lt;"&amp;B8)</f>
        <v>25</v>
      </c>
    </row>
    <row r="9" customFormat="false" ht="15" hidden="false" customHeight="false" outlineLevel="0" collapsed="false">
      <c r="A9" s="21" t="n">
        <v>46312.5</v>
      </c>
      <c r="B9" s="21" t="n">
        <f aca="false">A9+TIME(0,30,0)</f>
        <v>46312.5208333333</v>
      </c>
      <c r="C9" s="16" t="n">
        <f aca="false">COUNTIFS(Baskets!$C$2:$C$70,"&gt;="&amp;A9,Baskets!$C$2:$C$70,"&lt;"&amp;B9)</f>
        <v>6</v>
      </c>
      <c r="D9" s="16" t="n">
        <f aca="false">SUMIFS(Baskets!$G$2:$G$70,Baskets!$C$2:$C$70,"&gt;="&amp;A9,Baskets!$C$2:$C$70,"&lt;"&amp;B9)</f>
        <v>37</v>
      </c>
      <c r="E9" s="16" t="n">
        <f aca="false">SUMIFS(Baskets!$H$2:$H$70,Baskets!$C$2:$C$70,"&gt;="&amp;A9,Baskets!$C$2:$C$70,"&lt;"&amp;B9)</f>
        <v>10</v>
      </c>
    </row>
    <row r="10" customFormat="false" ht="15" hidden="false" customHeight="false" outlineLevel="0" collapsed="false">
      <c r="A10" s="21" t="n">
        <v>46312.5208333333</v>
      </c>
      <c r="B10" s="21" t="n">
        <f aca="false">A10+TIME(0,30,0)</f>
        <v>46312.5416666667</v>
      </c>
      <c r="C10" s="16" t="n">
        <f aca="false">COUNTIFS(Baskets!$C$2:$C$70,"&gt;="&amp;A10,Baskets!$C$2:$C$70,"&lt;"&amp;B10)</f>
        <v>9</v>
      </c>
      <c r="D10" s="16" t="n">
        <f aca="false">SUMIFS(Baskets!$G$2:$G$70,Baskets!$C$2:$C$70,"&gt;="&amp;A10,Baskets!$C$2:$C$70,"&lt;"&amp;B10)</f>
        <v>96</v>
      </c>
      <c r="E10" s="16" t="n">
        <f aca="false">SUMIFS(Baskets!$H$2:$H$70,Baskets!$C$2:$C$70,"&gt;="&amp;A10,Baskets!$C$2:$C$70,"&lt;"&amp;B10)</f>
        <v>27</v>
      </c>
    </row>
    <row r="11" customFormat="false" ht="15" hidden="false" customHeight="false" outlineLevel="0" collapsed="false">
      <c r="A11" s="21" t="n">
        <v>46312.5416666667</v>
      </c>
      <c r="B11" s="21" t="n">
        <f aca="false">A11+TIME(0,30,0)</f>
        <v>46312.5625</v>
      </c>
      <c r="C11" s="16" t="n">
        <f aca="false">COUNTIFS(Baskets!$C$2:$C$70,"&gt;="&amp;A11,Baskets!$C$2:$C$70,"&lt;"&amp;B11)</f>
        <v>3</v>
      </c>
      <c r="D11" s="16" t="n">
        <f aca="false">SUMIFS(Baskets!$G$2:$G$70,Baskets!$C$2:$C$70,"&gt;="&amp;A11,Baskets!$C$2:$C$70,"&lt;"&amp;B11)</f>
        <v>27</v>
      </c>
      <c r="E11" s="16" t="n">
        <f aca="false">SUMIFS(Baskets!$H$2:$H$70,Baskets!$C$2:$C$70,"&gt;="&amp;A11,Baskets!$C$2:$C$70,"&lt;"&amp;B11)</f>
        <v>8</v>
      </c>
    </row>
    <row r="12" customFormat="false" ht="15" hidden="false" customHeight="false" outlineLevel="0" collapsed="false">
      <c r="A12" s="21" t="n">
        <v>46312.5625</v>
      </c>
      <c r="B12" s="21" t="n">
        <f aca="false">A12+TIME(0,30,0)</f>
        <v>46312.5833333333</v>
      </c>
      <c r="C12" s="16" t="n">
        <f aca="false">COUNTIFS(Baskets!$C$2:$C$70,"&gt;="&amp;A12,Baskets!$C$2:$C$70,"&lt;"&amp;B12)</f>
        <v>0</v>
      </c>
      <c r="D12" s="16" t="n">
        <f aca="false">SUMIFS(Baskets!$G$2:$G$70,Baskets!$C$2:$C$70,"&gt;="&amp;A12,Baskets!$C$2:$C$70,"&lt;"&amp;B12)</f>
        <v>0</v>
      </c>
      <c r="E12" s="16" t="n">
        <f aca="false">SUMIFS(Baskets!$H$2:$H$70,Baskets!$C$2:$C$70,"&gt;="&amp;A12,Baskets!$C$2:$C$70,"&lt;"&amp;B12)</f>
        <v>0</v>
      </c>
    </row>
    <row r="13" customFormat="false" ht="15" hidden="false" customHeight="false" outlineLevel="0" collapsed="false">
      <c r="A13" s="29" t="s">
        <v>175</v>
      </c>
      <c r="B13" s="30"/>
      <c r="C13" s="8" t="n">
        <f aca="false">SUM(C5:C12)</f>
        <v>69</v>
      </c>
      <c r="D13" s="8" t="n">
        <f aca="false">SUM(D5:D12)</f>
        <v>482</v>
      </c>
      <c r="E13" s="8" t="n">
        <f aca="false">SUM(E5:E12)</f>
        <v>134</v>
      </c>
    </row>
    <row r="15" customFormat="false" ht="15" hidden="false" customHeight="false" outlineLevel="0" collapsed="false">
      <c r="A15" s="3" t="s">
        <v>270</v>
      </c>
    </row>
    <row r="16" customFormat="false" ht="15" hidden="false" customHeight="false" outlineLevel="0" collapsed="false">
      <c r="A16" s="17" t="s">
        <v>271</v>
      </c>
      <c r="B16" s="16" t="n">
        <f aca="false">MEDIAN(Baskets!$D$2:$D$70)</f>
        <v>5</v>
      </c>
    </row>
    <row r="17" customFormat="false" ht="15" hidden="false" customHeight="false" outlineLevel="0" collapsed="false">
      <c r="A17" s="17" t="s">
        <v>272</v>
      </c>
      <c r="B17" s="16" t="n">
        <f aca="false">MIN(Baskets!$D$2:$D$70)</f>
        <v>1</v>
      </c>
    </row>
    <row r="18" customFormat="false" ht="15" hidden="false" customHeight="false" outlineLevel="0" collapsed="false">
      <c r="A18" s="17" t="s">
        <v>273</v>
      </c>
    </row>
    <row r="19" customFormat="false" ht="15" hidden="false" customHeight="false" outlineLevel="0" collapsed="false">
      <c r="A19" s="7" t="s">
        <v>268</v>
      </c>
      <c r="B19" s="7" t="s">
        <v>92</v>
      </c>
    </row>
    <row r="20" customFormat="false" ht="15" hidden="false" customHeight="false" outlineLevel="0" collapsed="false">
      <c r="A20" s="16" t="n">
        <v>4</v>
      </c>
      <c r="B20" s="16" t="n">
        <f aca="false">COUNTIF(Baskets!$G$2:$G$70,A20)</f>
        <v>29</v>
      </c>
    </row>
    <row r="21" customFormat="false" ht="15" hidden="false" customHeight="false" outlineLevel="0" collapsed="false">
      <c r="A21" s="16" t="n">
        <v>5</v>
      </c>
      <c r="B21" s="16" t="n">
        <f aca="false">COUNTIF(Baskets!$G$2:$G$70,A21)</f>
        <v>3</v>
      </c>
    </row>
    <row r="22" customFormat="false" ht="15" hidden="false" customHeight="false" outlineLevel="0" collapsed="false">
      <c r="A22" s="16" t="n">
        <v>6</v>
      </c>
      <c r="B22" s="16" t="n">
        <f aca="false">COUNTIF(Baskets!$G$2:$G$70,A22)</f>
        <v>2</v>
      </c>
    </row>
    <row r="23" customFormat="false" ht="15" hidden="false" customHeight="false" outlineLevel="0" collapsed="false">
      <c r="A23" s="16" t="n">
        <v>7</v>
      </c>
      <c r="B23" s="16" t="n">
        <f aca="false">COUNTIF(Baskets!$G$2:$G$70,A23)</f>
        <v>12</v>
      </c>
    </row>
    <row r="24" customFormat="false" ht="15" hidden="false" customHeight="false" outlineLevel="0" collapsed="false">
      <c r="A24" s="16" t="n">
        <v>10</v>
      </c>
      <c r="B24" s="16" t="n">
        <f aca="false">COUNTIF(Baskets!$G$2:$G$70,A24)</f>
        <v>20</v>
      </c>
    </row>
    <row r="25" customFormat="false" ht="15" hidden="false" customHeight="false" outlineLevel="0" collapsed="false">
      <c r="A25" s="16" t="n">
        <v>14</v>
      </c>
      <c r="B25" s="16" t="n">
        <f aca="false">COUNTIF(Baskets!$G$2:$G$70,A25)</f>
        <v>2</v>
      </c>
    </row>
    <row r="26" customFormat="false" ht="15" hidden="false" customHeight="false" outlineLevel="0" collapsed="false">
      <c r="A26" s="16" t="n">
        <v>27</v>
      </c>
      <c r="B26" s="16" t="n">
        <f aca="false">COUNTIF(Baskets!$G$2:$G$70,A26)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15" hidden="false" customHeight="false" outlineLevel="0" collapsed="false">
      <c r="A4" s="3" t="s">
        <v>276</v>
      </c>
      <c r="B4" s="20" t="n">
        <v>450</v>
      </c>
    </row>
    <row r="5" customFormat="false" ht="15" hidden="false" customHeight="false" outlineLevel="0" collapsed="false">
      <c r="A5" s="3" t="s">
        <v>277</v>
      </c>
      <c r="B5" s="16" t="n">
        <f aca="false">SUMIFS('Raw Data'!$G$2:$G$114,'Raw Data'!$D$2:$D$114,"Copters")</f>
        <v>27</v>
      </c>
    </row>
    <row r="6" customFormat="false" ht="15" hidden="false" customHeight="false" outlineLevel="0" collapsed="false">
      <c r="A6" s="3" t="s">
        <v>278</v>
      </c>
      <c r="B6" s="16" t="n">
        <f aca="false">B5*(1-'Event Totals'!B12)</f>
        <v>24.3</v>
      </c>
    </row>
    <row r="7" customFormat="false" ht="15" hidden="false" customHeight="false" outlineLevel="0" collapsed="false">
      <c r="A7" s="3" t="s">
        <v>279</v>
      </c>
      <c r="B7" s="32" t="n">
        <f aca="false">B6/B4-1</f>
        <v>-0.946</v>
      </c>
    </row>
    <row r="8" customFormat="false" ht="15" hidden="false" customHeight="false" outlineLevel="0" collapsed="false">
      <c r="A8" s="3" t="s">
        <v>280</v>
      </c>
      <c r="B8" s="19" t="n">
        <f aca="false">B5/SUM('Raw Data'!$G$2:$G$114)</f>
        <v>0.0560165975103734</v>
      </c>
    </row>
    <row r="10" customFormat="false" ht="15" hidden="false" customHeight="false" outlineLevel="0" collapsed="false">
      <c r="A10" s="7" t="s">
        <v>281</v>
      </c>
      <c r="B10" s="7" t="s">
        <v>282</v>
      </c>
      <c r="C10" s="7" t="s">
        <v>268</v>
      </c>
    </row>
    <row r="11" customFormat="false" ht="15" hidden="false" customHeight="false" outlineLevel="0" collapsed="false">
      <c r="A11" s="9" t="s">
        <v>246</v>
      </c>
      <c r="B11" s="16" t="n">
        <f aca="false">SUMIFS('Raw Data'!$F$2:$F$114,'Raw Data'!$E$2:$E$114,A11)</f>
        <v>3</v>
      </c>
      <c r="C11" s="16" t="n">
        <f aca="false">SUMIFS('Raw Data'!$G$2:$G$114,'Raw Data'!$E$2:$E$114,A11)</f>
        <v>15</v>
      </c>
    </row>
    <row r="12" customFormat="false" ht="15" hidden="false" customHeight="false" outlineLevel="0" collapsed="false">
      <c r="A12" s="9" t="s">
        <v>247</v>
      </c>
      <c r="B12" s="16" t="n">
        <f aca="false">SUMIFS('Raw Data'!$F$2:$F$114,'Raw Data'!$E$2:$E$114,A12)</f>
        <v>2</v>
      </c>
      <c r="C12" s="16" t="n">
        <f aca="false">SUMIFS('Raw Data'!$G$2:$G$114,'Raw Data'!$E$2:$E$114,A12)</f>
        <v>12</v>
      </c>
    </row>
    <row r="14" customFormat="false" ht="15" hidden="false" customHeight="false" outlineLevel="0" collapsed="false">
      <c r="A14" s="7" t="s">
        <v>283</v>
      </c>
      <c r="B14" s="7" t="s">
        <v>86</v>
      </c>
      <c r="C14" s="7" t="s">
        <v>284</v>
      </c>
      <c r="D14" s="7" t="s">
        <v>285</v>
      </c>
    </row>
    <row r="15" customFormat="false" ht="15" hidden="false" customHeight="false" outlineLevel="0" collapsed="false">
      <c r="A15" s="9" t="s">
        <v>286</v>
      </c>
      <c r="B15" s="20" t="n">
        <v>93</v>
      </c>
      <c r="C15" s="16" t="n">
        <f aca="false">B11+B12</f>
        <v>5</v>
      </c>
      <c r="D15" s="27" t="n">
        <f aca="false">B15-C15</f>
        <v>88</v>
      </c>
    </row>
    <row r="16" customFormat="false" ht="15" hidden="false" customHeight="false" outlineLevel="0" collapsed="false">
      <c r="A16" s="9" t="s">
        <v>287</v>
      </c>
      <c r="B16" s="20" t="n">
        <v>158</v>
      </c>
      <c r="C16" s="16" t="n">
        <f aca="false">B11</f>
        <v>3</v>
      </c>
      <c r="D16" s="27" t="n">
        <f aca="false">B16-C16</f>
        <v>155</v>
      </c>
    </row>
    <row r="17" customFormat="false" ht="15" hidden="false" customHeight="false" outlineLevel="0" collapsed="false">
      <c r="A17" s="9" t="s">
        <v>288</v>
      </c>
      <c r="B17" s="20" t="n">
        <v>44</v>
      </c>
      <c r="C17" s="16" t="n">
        <f aca="false">B12</f>
        <v>2</v>
      </c>
      <c r="D17" s="27" t="n">
        <f aca="false">B17-C17</f>
        <v>42</v>
      </c>
    </row>
    <row r="18" customFormat="false" ht="15" hidden="false" customHeight="false" outlineLevel="0" collapsed="false">
      <c r="A18" s="9" t="s">
        <v>289</v>
      </c>
      <c r="B18" s="20" t="n">
        <v>105</v>
      </c>
      <c r="C18" s="16" t="n">
        <f aca="false">B11+B12</f>
        <v>5</v>
      </c>
      <c r="D18" s="27" t="n">
        <f aca="false">B18-C18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8"/>
    <col collapsed="false" customWidth="true" hidden="false" outlineLevel="0" max="9" min="8" style="0" width="7"/>
    <col collapsed="false" customWidth="true" hidden="false" outlineLevel="0" max="11" min="10" style="0" width="8"/>
    <col collapsed="false" customWidth="true" hidden="false" outlineLevel="0" max="32" min="12" style="0" width="10"/>
  </cols>
  <sheetData>
    <row r="1" customFormat="false" ht="45" hidden="false" customHeight="true" outlineLevel="0" collapsed="false">
      <c r="A1" s="7" t="s">
        <v>290</v>
      </c>
      <c r="B1" s="7" t="s">
        <v>291</v>
      </c>
      <c r="C1" s="7" t="s">
        <v>292</v>
      </c>
      <c r="D1" s="7" t="s">
        <v>293</v>
      </c>
      <c r="E1" s="7" t="s">
        <v>294</v>
      </c>
      <c r="F1" s="7" t="s">
        <v>295</v>
      </c>
      <c r="G1" s="7" t="s">
        <v>268</v>
      </c>
      <c r="H1" s="7" t="s">
        <v>269</v>
      </c>
      <c r="I1" s="7" t="s">
        <v>296</v>
      </c>
      <c r="J1" s="7" t="s">
        <v>297</v>
      </c>
      <c r="K1" s="7" t="s">
        <v>298</v>
      </c>
      <c r="L1" s="7" t="s">
        <v>138</v>
      </c>
      <c r="M1" s="7" t="s">
        <v>146</v>
      </c>
      <c r="N1" s="7" t="s">
        <v>143</v>
      </c>
      <c r="O1" s="7" t="s">
        <v>154</v>
      </c>
      <c r="P1" s="7" t="s">
        <v>65</v>
      </c>
      <c r="Q1" s="7" t="s">
        <v>148</v>
      </c>
      <c r="R1" s="7" t="s">
        <v>151</v>
      </c>
      <c r="S1" s="7" t="s">
        <v>158</v>
      </c>
      <c r="T1" s="7" t="s">
        <v>150</v>
      </c>
      <c r="U1" s="7" t="s">
        <v>145</v>
      </c>
      <c r="V1" s="7" t="s">
        <v>137</v>
      </c>
      <c r="W1" s="7" t="s">
        <v>142</v>
      </c>
      <c r="X1" s="7" t="s">
        <v>161</v>
      </c>
      <c r="Y1" s="7" t="s">
        <v>156</v>
      </c>
      <c r="Z1" s="7" t="s">
        <v>140</v>
      </c>
      <c r="AA1" s="7" t="s">
        <v>159</v>
      </c>
      <c r="AB1" s="7" t="s">
        <v>153</v>
      </c>
      <c r="AC1" s="7" t="s">
        <v>155</v>
      </c>
      <c r="AD1" s="7" t="s">
        <v>163</v>
      </c>
      <c r="AE1" s="7" t="s">
        <v>246</v>
      </c>
      <c r="AF1" s="7" t="s">
        <v>247</v>
      </c>
    </row>
    <row r="2" customFormat="false" ht="15" hidden="false" customHeight="false" outlineLevel="0" collapsed="false">
      <c r="A2" s="17" t="s">
        <v>299</v>
      </c>
      <c r="B2" s="38" t="n">
        <v>46312.4179861111</v>
      </c>
      <c r="C2" s="38" t="n">
        <v>46312.4242013889</v>
      </c>
      <c r="D2" s="16" t="n">
        <f aca="false">(C2-B2)*86400</f>
        <v>537</v>
      </c>
      <c r="E2" s="17" t="s">
        <v>251</v>
      </c>
      <c r="F2" s="17" t="s">
        <v>256</v>
      </c>
      <c r="G2" s="16" t="n">
        <f aca="false">SUMIFS('Raw Data'!$G$2:$G$114,'Raw Data'!$A$2:$A$114,A2)</f>
        <v>10</v>
      </c>
      <c r="H2" s="16" t="n">
        <f aca="false">SUMIFS('Raw Data'!$F$2:$F$114,'Raw Data'!$A$2:$A$114,A2)</f>
        <v>3</v>
      </c>
      <c r="I2" s="16" t="n">
        <f aca="false">SUMIFS('Raw Data'!$K$2:$K$114,'Raw Data'!$A$2:$A$114,A2)</f>
        <v>1</v>
      </c>
      <c r="J2" s="16" t="n">
        <f aca="false">COUNTIF(Q2:AF2,"&gt;0")</f>
        <v>3</v>
      </c>
      <c r="K2" s="16" t="n">
        <f aca="false">COUNTIF(L2:P2,"&gt;0")</f>
        <v>2</v>
      </c>
      <c r="L2" s="37" t="n">
        <f aca="false">SUMIFS('Raw Data'!$F$2:$F$114,'Raw Data'!$A$2:$A$114,$A2,'Raw Data'!$L$2:$L$114,"Asian food")</f>
        <v>2</v>
      </c>
      <c r="M2" s="37" t="n">
        <f aca="false">SUMIFS('Raw Data'!$F$2:$F$114,'Raw Data'!$A$2:$A$114,$A2,'Raw Data'!$L$2:$L$114,"Snacks &amp; treats")</f>
        <v>0</v>
      </c>
      <c r="N2" s="37" t="n">
        <f aca="false">SUMIFS('Raw Data'!$F$2:$F$114,'Raw Data'!$A$2:$A$114,$A2,'Raw Data'!$L$2:$L$114,"Minecraft")</f>
        <v>0</v>
      </c>
      <c r="O2" s="37" t="n">
        <f aca="false">SUMIFS('Raw Data'!$F$2:$F$114,'Raw Data'!$A$2:$A$114,$A2,'Raw Data'!$L$2:$L$114,"Workshop")</f>
        <v>1</v>
      </c>
      <c r="P2" s="37" t="n">
        <f aca="false">SUMIFS('Raw Data'!$F$2:$F$114,'Raw Data'!$A$2:$A$114,$A2,'Raw Data'!$L$2:$L$114,"Copters")</f>
        <v>0</v>
      </c>
      <c r="Q2" s="37" t="n">
        <f aca="false">SUMIFS('Raw Data'!$F$2:$F$114,'Raw Data'!$A$2:$A$114,$A2,'Raw Data'!$E$2:$E$114,"Egg tart")</f>
        <v>0</v>
      </c>
      <c r="R2" s="37" t="n">
        <f aca="false">SUMIFS('Raw Data'!$F$2:$F$114,'Raw Data'!$A$2:$A$114,$A2,'Raw Data'!$E$2:$E$114,"Hot dog bun")</f>
        <v>0</v>
      </c>
      <c r="S2" s="37" t="n">
        <f aca="false">SUMIFS('Raw Data'!$F$2:$F$114,'Raw Data'!$A$2:$A$114,$A2,'Raw Data'!$E$2:$E$114,"S'mores")</f>
        <v>0</v>
      </c>
      <c r="T2" s="37" t="n">
        <f aca="false">SUMIFS('Raw Data'!$F$2:$F$114,'Raw Data'!$A$2:$A$114,$A2,'Raw Data'!$E$2:$E$114,"Chocolate bar")</f>
        <v>0</v>
      </c>
      <c r="U2" s="37" t="n">
        <f aca="false">SUMIFS('Raw Data'!$F$2:$F$114,'Raw Data'!$A$2:$A$114,$A2,'Raw Data'!$E$2:$E$114,"Avocado")</f>
        <v>0</v>
      </c>
      <c r="V2" s="37" t="n">
        <f aca="false">SUMIFS('Raw Data'!$F$2:$F$114,'Raw Data'!$A$2:$A$114,$A2,'Raw Data'!$E$2:$E$114,"Dumpling")</f>
        <v>1</v>
      </c>
      <c r="W2" s="37" t="n">
        <f aca="false">SUMIFS('Raw Data'!$F$2:$F$114,'Raw Data'!$A$2:$A$114,$A2,'Raw Data'!$E$2:$E$114,"Creeper")</f>
        <v>0</v>
      </c>
      <c r="X2" s="37" t="n">
        <f aca="false">SUMIFS('Raw Data'!$F$2:$F$114,'Raw Data'!$A$2:$A$114,$A2,'Raw Data'!$E$2:$E$114,"Oreo")</f>
        <v>0</v>
      </c>
      <c r="Y2" s="37" t="n">
        <f aca="false">SUMIFS('Raw Data'!$F$2:$F$114,'Raw Data'!$A$2:$A$114,$A2,'Raw Data'!$E$2:$E$114,"Spam musubi")</f>
        <v>1</v>
      </c>
      <c r="Z2" s="37" t="n">
        <f aca="false">SUMIFS('Raw Data'!$F$2:$F$114,'Raw Data'!$A$2:$A$114,$A2,'Raw Data'!$E$2:$E$114,"Salmon nigiri")</f>
        <v>0</v>
      </c>
      <c r="AA2" s="37" t="n">
        <f aca="false">SUMIFS('Raw Data'!$F$2:$F$114,'Raw Data'!$A$2:$A$114,$A2,'Raw Data'!$E$2:$E$114,"LEGO brick")</f>
        <v>0</v>
      </c>
      <c r="AB2" s="37" t="n">
        <f aca="false">SUMIFS('Raw Data'!$F$2:$F$114,'Raw Data'!$A$2:$A$114,$A2,'Raw Data'!$E$2:$E$114,"WD-40")</f>
        <v>1</v>
      </c>
      <c r="AC2" s="37" t="n">
        <f aca="false">SUMIFS('Raw Data'!$F$2:$F$114,'Raw Data'!$A$2:$A$114,$A2,'Raw Data'!$E$2:$E$114,"Creeper infinity cube")</f>
        <v>0</v>
      </c>
      <c r="AD2" s="37" t="n">
        <f aca="false">SUMIFS('Raw Data'!$F$2:$F$114,'Raw Data'!$A$2:$A$114,$A2,'Raw Data'!$E$2:$E$114,"Burger")</f>
        <v>0</v>
      </c>
      <c r="AE2" s="37" t="n">
        <f aca="false">SUMIFS('Raw Data'!$F$2:$F$114,'Raw Data'!$A$2:$A$114,$A2,'Raw Data'!$E$2:$E$114,"Full kit")</f>
        <v>0</v>
      </c>
      <c r="AF2" s="37" t="n">
        <f aca="false">SUMIFS('Raw Data'!$F$2:$F$114,'Raw Data'!$A$2:$A$114,$A2,'Raw Data'!$E$2:$E$114,"Kit w/ toroidal")</f>
        <v>0</v>
      </c>
    </row>
    <row r="3" customFormat="false" ht="15" hidden="false" customHeight="false" outlineLevel="0" collapsed="false">
      <c r="A3" s="17" t="s">
        <v>300</v>
      </c>
      <c r="B3" s="38" t="n">
        <v>46312.4272222222</v>
      </c>
      <c r="C3" s="38" t="n">
        <v>46312.4276736111</v>
      </c>
      <c r="D3" s="16" t="n">
        <f aca="false">(C3-B3)*86400</f>
        <v>39</v>
      </c>
      <c r="E3" s="17" t="s">
        <v>251</v>
      </c>
      <c r="F3" s="17" t="s">
        <v>255</v>
      </c>
      <c r="G3" s="16" t="n">
        <f aca="false">SUMIFS('Raw Data'!$G$2:$G$114,'Raw Data'!$A$2:$A$114,A3)</f>
        <v>4</v>
      </c>
      <c r="H3" s="16" t="n">
        <f aca="false">SUMIFS('Raw Data'!$F$2:$F$114,'Raw Data'!$A$2:$A$114,A3)</f>
        <v>1</v>
      </c>
      <c r="I3" s="16" t="n">
        <f aca="false">SUMIFS('Raw Data'!$K$2:$K$114,'Raw Data'!$A$2:$A$114,A3)</f>
        <v>0</v>
      </c>
      <c r="J3" s="16" t="n">
        <f aca="false">COUNTIF(Q3:AF3,"&gt;0")</f>
        <v>1</v>
      </c>
      <c r="K3" s="16" t="n">
        <f aca="false">COUNTIF(L3:P3,"&gt;0")</f>
        <v>1</v>
      </c>
      <c r="L3" s="37" t="n">
        <f aca="false">SUMIFS('Raw Data'!$F$2:$F$114,'Raw Data'!$A$2:$A$114,$A3,'Raw Data'!$L$2:$L$114,"Asian food")</f>
        <v>0</v>
      </c>
      <c r="M3" s="37" t="n">
        <f aca="false">SUMIFS('Raw Data'!$F$2:$F$114,'Raw Data'!$A$2:$A$114,$A3,'Raw Data'!$L$2:$L$114,"Snacks &amp; treats")</f>
        <v>0</v>
      </c>
      <c r="N3" s="37" t="n">
        <f aca="false">SUMIFS('Raw Data'!$F$2:$F$114,'Raw Data'!$A$2:$A$114,$A3,'Raw Data'!$L$2:$L$114,"Minecraft")</f>
        <v>1</v>
      </c>
      <c r="O3" s="37" t="n">
        <f aca="false">SUMIFS('Raw Data'!$F$2:$F$114,'Raw Data'!$A$2:$A$114,$A3,'Raw Data'!$L$2:$L$114,"Workshop")</f>
        <v>0</v>
      </c>
      <c r="P3" s="37" t="n">
        <f aca="false">SUMIFS('Raw Data'!$F$2:$F$114,'Raw Data'!$A$2:$A$114,$A3,'Raw Data'!$L$2:$L$114,"Copters")</f>
        <v>0</v>
      </c>
      <c r="Q3" s="37" t="n">
        <f aca="false">SUMIFS('Raw Data'!$F$2:$F$114,'Raw Data'!$A$2:$A$114,$A3,'Raw Data'!$E$2:$E$114,"Egg tart")</f>
        <v>0</v>
      </c>
      <c r="R3" s="37" t="n">
        <f aca="false">SUMIFS('Raw Data'!$F$2:$F$114,'Raw Data'!$A$2:$A$114,$A3,'Raw Data'!$E$2:$E$114,"Hot dog bun")</f>
        <v>0</v>
      </c>
      <c r="S3" s="37" t="n">
        <f aca="false">SUMIFS('Raw Data'!$F$2:$F$114,'Raw Data'!$A$2:$A$114,$A3,'Raw Data'!$E$2:$E$114,"S'mores")</f>
        <v>0</v>
      </c>
      <c r="T3" s="37" t="n">
        <f aca="false">SUMIFS('Raw Data'!$F$2:$F$114,'Raw Data'!$A$2:$A$114,$A3,'Raw Data'!$E$2:$E$114,"Chocolate bar")</f>
        <v>0</v>
      </c>
      <c r="U3" s="37" t="n">
        <f aca="false">SUMIFS('Raw Data'!$F$2:$F$114,'Raw Data'!$A$2:$A$114,$A3,'Raw Data'!$E$2:$E$114,"Avocado")</f>
        <v>0</v>
      </c>
      <c r="V3" s="37" t="n">
        <f aca="false">SUMIFS('Raw Data'!$F$2:$F$114,'Raw Data'!$A$2:$A$114,$A3,'Raw Data'!$E$2:$E$114,"Dumpling")</f>
        <v>0</v>
      </c>
      <c r="W3" s="37" t="n">
        <f aca="false">SUMIFS('Raw Data'!$F$2:$F$114,'Raw Data'!$A$2:$A$114,$A3,'Raw Data'!$E$2:$E$114,"Creeper")</f>
        <v>1</v>
      </c>
      <c r="X3" s="37" t="n">
        <f aca="false">SUMIFS('Raw Data'!$F$2:$F$114,'Raw Data'!$A$2:$A$114,$A3,'Raw Data'!$E$2:$E$114,"Oreo")</f>
        <v>0</v>
      </c>
      <c r="Y3" s="37" t="n">
        <f aca="false">SUMIFS('Raw Data'!$F$2:$F$114,'Raw Data'!$A$2:$A$114,$A3,'Raw Data'!$E$2:$E$114,"Spam musubi")</f>
        <v>0</v>
      </c>
      <c r="Z3" s="37" t="n">
        <f aca="false">SUMIFS('Raw Data'!$F$2:$F$114,'Raw Data'!$A$2:$A$114,$A3,'Raw Data'!$E$2:$E$114,"Salmon nigiri")</f>
        <v>0</v>
      </c>
      <c r="AA3" s="37" t="n">
        <f aca="false">SUMIFS('Raw Data'!$F$2:$F$114,'Raw Data'!$A$2:$A$114,$A3,'Raw Data'!$E$2:$E$114,"LEGO brick")</f>
        <v>0</v>
      </c>
      <c r="AB3" s="37" t="n">
        <f aca="false">SUMIFS('Raw Data'!$F$2:$F$114,'Raw Data'!$A$2:$A$114,$A3,'Raw Data'!$E$2:$E$114,"WD-40")</f>
        <v>0</v>
      </c>
      <c r="AC3" s="37" t="n">
        <f aca="false">SUMIFS('Raw Data'!$F$2:$F$114,'Raw Data'!$A$2:$A$114,$A3,'Raw Data'!$E$2:$E$114,"Creeper infinity cube")</f>
        <v>0</v>
      </c>
      <c r="AD3" s="37" t="n">
        <f aca="false">SUMIFS('Raw Data'!$F$2:$F$114,'Raw Data'!$A$2:$A$114,$A3,'Raw Data'!$E$2:$E$114,"Burger")</f>
        <v>0</v>
      </c>
      <c r="AE3" s="37" t="n">
        <f aca="false">SUMIFS('Raw Data'!$F$2:$F$114,'Raw Data'!$A$2:$A$114,$A3,'Raw Data'!$E$2:$E$114,"Full kit")</f>
        <v>0</v>
      </c>
      <c r="AF3" s="37" t="n">
        <f aca="false">SUMIFS('Raw Data'!$F$2:$F$114,'Raw Data'!$A$2:$A$114,$A3,'Raw Data'!$E$2:$E$114,"Kit w/ toroidal")</f>
        <v>0</v>
      </c>
    </row>
    <row r="4" customFormat="false" ht="15" hidden="false" customHeight="false" outlineLevel="0" collapsed="false">
      <c r="A4" s="17" t="s">
        <v>301</v>
      </c>
      <c r="B4" s="38" t="n">
        <v>46312.4307523148</v>
      </c>
      <c r="C4" s="38" t="n">
        <v>46312.4312847222</v>
      </c>
      <c r="D4" s="16" t="n">
        <f aca="false">(C4-B4)*86400</f>
        <v>45.999998808</v>
      </c>
      <c r="E4" s="17" t="s">
        <v>251</v>
      </c>
      <c r="F4" s="17" t="s">
        <v>255</v>
      </c>
      <c r="G4" s="16" t="n">
        <f aca="false">SUMIFS('Raw Data'!$G$2:$G$114,'Raw Data'!$A$2:$A$114,A4)</f>
        <v>4</v>
      </c>
      <c r="H4" s="16" t="n">
        <f aca="false">SUMIFS('Raw Data'!$F$2:$F$114,'Raw Data'!$A$2:$A$114,A4)</f>
        <v>1</v>
      </c>
      <c r="I4" s="16" t="n">
        <f aca="false">SUMIFS('Raw Data'!$K$2:$K$114,'Raw Data'!$A$2:$A$114,A4)</f>
        <v>0</v>
      </c>
      <c r="J4" s="16" t="n">
        <f aca="false">COUNTIF(Q4:AF4,"&gt;0")</f>
        <v>1</v>
      </c>
      <c r="K4" s="16" t="n">
        <f aca="false">COUNTIF(L4:P4,"&gt;0")</f>
        <v>1</v>
      </c>
      <c r="L4" s="37" t="n">
        <f aca="false">SUMIFS('Raw Data'!$F$2:$F$114,'Raw Data'!$A$2:$A$114,$A4,'Raw Data'!$L$2:$L$114,"Asian food")</f>
        <v>1</v>
      </c>
      <c r="M4" s="37" t="n">
        <f aca="false">SUMIFS('Raw Data'!$F$2:$F$114,'Raw Data'!$A$2:$A$114,$A4,'Raw Data'!$L$2:$L$114,"Snacks &amp; treats")</f>
        <v>0</v>
      </c>
      <c r="N4" s="37" t="n">
        <f aca="false">SUMIFS('Raw Data'!$F$2:$F$114,'Raw Data'!$A$2:$A$114,$A4,'Raw Data'!$L$2:$L$114,"Minecraft")</f>
        <v>0</v>
      </c>
      <c r="O4" s="37" t="n">
        <f aca="false">SUMIFS('Raw Data'!$F$2:$F$114,'Raw Data'!$A$2:$A$114,$A4,'Raw Data'!$L$2:$L$114,"Workshop")</f>
        <v>0</v>
      </c>
      <c r="P4" s="37" t="n">
        <f aca="false">SUMIFS('Raw Data'!$F$2:$F$114,'Raw Data'!$A$2:$A$114,$A4,'Raw Data'!$L$2:$L$114,"Copters")</f>
        <v>0</v>
      </c>
      <c r="Q4" s="37" t="n">
        <f aca="false">SUMIFS('Raw Data'!$F$2:$F$114,'Raw Data'!$A$2:$A$114,$A4,'Raw Data'!$E$2:$E$114,"Egg tart")</f>
        <v>0</v>
      </c>
      <c r="R4" s="37" t="n">
        <f aca="false">SUMIFS('Raw Data'!$F$2:$F$114,'Raw Data'!$A$2:$A$114,$A4,'Raw Data'!$E$2:$E$114,"Hot dog bun")</f>
        <v>0</v>
      </c>
      <c r="S4" s="37" t="n">
        <f aca="false">SUMIFS('Raw Data'!$F$2:$F$114,'Raw Data'!$A$2:$A$114,$A4,'Raw Data'!$E$2:$E$114,"S'mores")</f>
        <v>0</v>
      </c>
      <c r="T4" s="37" t="n">
        <f aca="false">SUMIFS('Raw Data'!$F$2:$F$114,'Raw Data'!$A$2:$A$114,$A4,'Raw Data'!$E$2:$E$114,"Chocolate bar")</f>
        <v>0</v>
      </c>
      <c r="U4" s="37" t="n">
        <f aca="false">SUMIFS('Raw Data'!$F$2:$F$114,'Raw Data'!$A$2:$A$114,$A4,'Raw Data'!$E$2:$E$114,"Avocado")</f>
        <v>0</v>
      </c>
      <c r="V4" s="37" t="n">
        <f aca="false">SUMIFS('Raw Data'!$F$2:$F$114,'Raw Data'!$A$2:$A$114,$A4,'Raw Data'!$E$2:$E$114,"Dumpling")</f>
        <v>1</v>
      </c>
      <c r="W4" s="37" t="n">
        <f aca="false">SUMIFS('Raw Data'!$F$2:$F$114,'Raw Data'!$A$2:$A$114,$A4,'Raw Data'!$E$2:$E$114,"Creeper")</f>
        <v>0</v>
      </c>
      <c r="X4" s="37" t="n">
        <f aca="false">SUMIFS('Raw Data'!$F$2:$F$114,'Raw Data'!$A$2:$A$114,$A4,'Raw Data'!$E$2:$E$114,"Oreo")</f>
        <v>0</v>
      </c>
      <c r="Y4" s="37" t="n">
        <f aca="false">SUMIFS('Raw Data'!$F$2:$F$114,'Raw Data'!$A$2:$A$114,$A4,'Raw Data'!$E$2:$E$114,"Spam musubi")</f>
        <v>0</v>
      </c>
      <c r="Z4" s="37" t="n">
        <f aca="false">SUMIFS('Raw Data'!$F$2:$F$114,'Raw Data'!$A$2:$A$114,$A4,'Raw Data'!$E$2:$E$114,"Salmon nigiri")</f>
        <v>0</v>
      </c>
      <c r="AA4" s="37" t="n">
        <f aca="false">SUMIFS('Raw Data'!$F$2:$F$114,'Raw Data'!$A$2:$A$114,$A4,'Raw Data'!$E$2:$E$114,"LEGO brick")</f>
        <v>0</v>
      </c>
      <c r="AB4" s="37" t="n">
        <f aca="false">SUMIFS('Raw Data'!$F$2:$F$114,'Raw Data'!$A$2:$A$114,$A4,'Raw Data'!$E$2:$E$114,"WD-40")</f>
        <v>0</v>
      </c>
      <c r="AC4" s="37" t="n">
        <f aca="false">SUMIFS('Raw Data'!$F$2:$F$114,'Raw Data'!$A$2:$A$114,$A4,'Raw Data'!$E$2:$E$114,"Creeper infinity cube")</f>
        <v>0</v>
      </c>
      <c r="AD4" s="37" t="n">
        <f aca="false">SUMIFS('Raw Data'!$F$2:$F$114,'Raw Data'!$A$2:$A$114,$A4,'Raw Data'!$E$2:$E$114,"Burger")</f>
        <v>0</v>
      </c>
      <c r="AE4" s="37" t="n">
        <f aca="false">SUMIFS('Raw Data'!$F$2:$F$114,'Raw Data'!$A$2:$A$114,$A4,'Raw Data'!$E$2:$E$114,"Full kit")</f>
        <v>0</v>
      </c>
      <c r="AF4" s="37" t="n">
        <f aca="false">SUMIFS('Raw Data'!$F$2:$F$114,'Raw Data'!$A$2:$A$114,$A4,'Raw Data'!$E$2:$E$114,"Kit w/ toroidal")</f>
        <v>0</v>
      </c>
    </row>
    <row r="5" customFormat="false" ht="15" hidden="false" customHeight="false" outlineLevel="0" collapsed="false">
      <c r="A5" s="17" t="s">
        <v>302</v>
      </c>
      <c r="B5" s="38" t="n">
        <v>46312.4313888889</v>
      </c>
      <c r="C5" s="38" t="n">
        <v>46312.4314930556</v>
      </c>
      <c r="D5" s="16" t="n">
        <f aca="false">(C5-B5)*86400</f>
        <v>9</v>
      </c>
      <c r="E5" s="17" t="s">
        <v>252</v>
      </c>
      <c r="F5" s="17" t="s">
        <v>255</v>
      </c>
      <c r="G5" s="16" t="n">
        <f aca="false">SUMIFS('Raw Data'!$G$2:$G$114,'Raw Data'!$A$2:$A$114,A5)</f>
        <v>7</v>
      </c>
      <c r="H5" s="16" t="n">
        <f aca="false">SUMIFS('Raw Data'!$F$2:$F$114,'Raw Data'!$A$2:$A$114,A5)</f>
        <v>2</v>
      </c>
      <c r="I5" s="16" t="n">
        <f aca="false">SUMIFS('Raw Data'!$K$2:$K$114,'Raw Data'!$A$2:$A$114,A5)</f>
        <v>0</v>
      </c>
      <c r="J5" s="16" t="n">
        <f aca="false">COUNTIF(Q5:AF5,"&gt;0")</f>
        <v>2</v>
      </c>
      <c r="K5" s="16" t="n">
        <f aca="false">COUNTIF(L5:P5,"&gt;0")</f>
        <v>2</v>
      </c>
      <c r="L5" s="37" t="n">
        <f aca="false">SUMIFS('Raw Data'!$F$2:$F$114,'Raw Data'!$A$2:$A$114,$A5,'Raw Data'!$L$2:$L$114,"Asian food")</f>
        <v>0</v>
      </c>
      <c r="M5" s="37" t="n">
        <f aca="false">SUMIFS('Raw Data'!$F$2:$F$114,'Raw Data'!$A$2:$A$114,$A5,'Raw Data'!$L$2:$L$114,"Snacks &amp; treats")</f>
        <v>1</v>
      </c>
      <c r="N5" s="37" t="n">
        <f aca="false">SUMIFS('Raw Data'!$F$2:$F$114,'Raw Data'!$A$2:$A$114,$A5,'Raw Data'!$L$2:$L$114,"Minecraft")</f>
        <v>1</v>
      </c>
      <c r="O5" s="37" t="n">
        <f aca="false">SUMIFS('Raw Data'!$F$2:$F$114,'Raw Data'!$A$2:$A$114,$A5,'Raw Data'!$L$2:$L$114,"Workshop")</f>
        <v>0</v>
      </c>
      <c r="P5" s="37" t="n">
        <f aca="false">SUMIFS('Raw Data'!$F$2:$F$114,'Raw Data'!$A$2:$A$114,$A5,'Raw Data'!$L$2:$L$114,"Copters")</f>
        <v>0</v>
      </c>
      <c r="Q5" s="37" t="n">
        <f aca="false">SUMIFS('Raw Data'!$F$2:$F$114,'Raw Data'!$A$2:$A$114,$A5,'Raw Data'!$E$2:$E$114,"Egg tart")</f>
        <v>0</v>
      </c>
      <c r="R5" s="37" t="n">
        <f aca="false">SUMIFS('Raw Data'!$F$2:$F$114,'Raw Data'!$A$2:$A$114,$A5,'Raw Data'!$E$2:$E$114,"Hot dog bun")</f>
        <v>0</v>
      </c>
      <c r="S5" s="37" t="n">
        <f aca="false">SUMIFS('Raw Data'!$F$2:$F$114,'Raw Data'!$A$2:$A$114,$A5,'Raw Data'!$E$2:$E$114,"S'mores")</f>
        <v>0</v>
      </c>
      <c r="T5" s="37" t="n">
        <f aca="false">SUMIFS('Raw Data'!$F$2:$F$114,'Raw Data'!$A$2:$A$114,$A5,'Raw Data'!$E$2:$E$114,"Chocolate bar")</f>
        <v>0</v>
      </c>
      <c r="U5" s="37" t="n">
        <f aca="false">SUMIFS('Raw Data'!$F$2:$F$114,'Raw Data'!$A$2:$A$114,$A5,'Raw Data'!$E$2:$E$114,"Avocado")</f>
        <v>1</v>
      </c>
      <c r="V5" s="37" t="n">
        <f aca="false">SUMIFS('Raw Data'!$F$2:$F$114,'Raw Data'!$A$2:$A$114,$A5,'Raw Data'!$E$2:$E$114,"Dumpling")</f>
        <v>0</v>
      </c>
      <c r="W5" s="37" t="n">
        <f aca="false">SUMIFS('Raw Data'!$F$2:$F$114,'Raw Data'!$A$2:$A$114,$A5,'Raw Data'!$E$2:$E$114,"Creeper")</f>
        <v>0</v>
      </c>
      <c r="X5" s="37" t="n">
        <f aca="false">SUMIFS('Raw Data'!$F$2:$F$114,'Raw Data'!$A$2:$A$114,$A5,'Raw Data'!$E$2:$E$114,"Oreo")</f>
        <v>0</v>
      </c>
      <c r="Y5" s="37" t="n">
        <f aca="false">SUMIFS('Raw Data'!$F$2:$F$114,'Raw Data'!$A$2:$A$114,$A5,'Raw Data'!$E$2:$E$114,"Spam musubi")</f>
        <v>0</v>
      </c>
      <c r="Z5" s="37" t="n">
        <f aca="false">SUMIFS('Raw Data'!$F$2:$F$114,'Raw Data'!$A$2:$A$114,$A5,'Raw Data'!$E$2:$E$114,"Salmon nigiri")</f>
        <v>0</v>
      </c>
      <c r="AA5" s="37" t="n">
        <f aca="false">SUMIFS('Raw Data'!$F$2:$F$114,'Raw Data'!$A$2:$A$114,$A5,'Raw Data'!$E$2:$E$114,"LEGO brick")</f>
        <v>0</v>
      </c>
      <c r="AB5" s="37" t="n">
        <f aca="false">SUMIFS('Raw Data'!$F$2:$F$114,'Raw Data'!$A$2:$A$114,$A5,'Raw Data'!$E$2:$E$114,"WD-40")</f>
        <v>0</v>
      </c>
      <c r="AC5" s="37" t="n">
        <f aca="false">SUMIFS('Raw Data'!$F$2:$F$114,'Raw Data'!$A$2:$A$114,$A5,'Raw Data'!$E$2:$E$114,"Creeper infinity cube")</f>
        <v>1</v>
      </c>
      <c r="AD5" s="37" t="n">
        <f aca="false">SUMIFS('Raw Data'!$F$2:$F$114,'Raw Data'!$A$2:$A$114,$A5,'Raw Data'!$E$2:$E$114,"Burger")</f>
        <v>0</v>
      </c>
      <c r="AE5" s="37" t="n">
        <f aca="false">SUMIFS('Raw Data'!$F$2:$F$114,'Raw Data'!$A$2:$A$114,$A5,'Raw Data'!$E$2:$E$114,"Full kit")</f>
        <v>0</v>
      </c>
      <c r="AF5" s="37" t="n">
        <f aca="false">SUMIFS('Raw Data'!$F$2:$F$114,'Raw Data'!$A$2:$A$114,$A5,'Raw Data'!$E$2:$E$114,"Kit w/ toroidal")</f>
        <v>0</v>
      </c>
    </row>
    <row r="6" customFormat="false" ht="15" hidden="false" customHeight="false" outlineLevel="0" collapsed="false">
      <c r="A6" s="17" t="s">
        <v>303</v>
      </c>
      <c r="B6" s="38" t="n">
        <v>46312.4315740741</v>
      </c>
      <c r="C6" s="38" t="n">
        <v>46312.4315972222</v>
      </c>
      <c r="D6" s="16" t="n">
        <f aca="false">(C6-B6)*86400</f>
        <v>2</v>
      </c>
      <c r="E6" s="17"/>
      <c r="F6" s="17"/>
      <c r="G6" s="16" t="n">
        <f aca="false">SUMIFS('Raw Data'!$G$2:$G$114,'Raw Data'!$A$2:$A$114,A6)</f>
        <v>4</v>
      </c>
      <c r="H6" s="16" t="n">
        <f aca="false">SUMIFS('Raw Data'!$F$2:$F$114,'Raw Data'!$A$2:$A$114,A6)</f>
        <v>1</v>
      </c>
      <c r="I6" s="16" t="n">
        <f aca="false">SUMIFS('Raw Data'!$K$2:$K$114,'Raw Data'!$A$2:$A$114,A6)</f>
        <v>0</v>
      </c>
      <c r="J6" s="16" t="n">
        <f aca="false">COUNTIF(Q6:AF6,"&gt;0")</f>
        <v>1</v>
      </c>
      <c r="K6" s="16" t="n">
        <f aca="false">COUNTIF(L6:P6,"&gt;0")</f>
        <v>1</v>
      </c>
      <c r="L6" s="37" t="n">
        <f aca="false">SUMIFS('Raw Data'!$F$2:$F$114,'Raw Data'!$A$2:$A$114,$A6,'Raw Data'!$L$2:$L$114,"Asian food")</f>
        <v>0</v>
      </c>
      <c r="M6" s="37" t="n">
        <f aca="false">SUMIFS('Raw Data'!$F$2:$F$114,'Raw Data'!$A$2:$A$114,$A6,'Raw Data'!$L$2:$L$114,"Snacks &amp; treats")</f>
        <v>1</v>
      </c>
      <c r="N6" s="37" t="n">
        <f aca="false">SUMIFS('Raw Data'!$F$2:$F$114,'Raw Data'!$A$2:$A$114,$A6,'Raw Data'!$L$2:$L$114,"Minecraft")</f>
        <v>0</v>
      </c>
      <c r="O6" s="37" t="n">
        <f aca="false">SUMIFS('Raw Data'!$F$2:$F$114,'Raw Data'!$A$2:$A$114,$A6,'Raw Data'!$L$2:$L$114,"Workshop")</f>
        <v>0</v>
      </c>
      <c r="P6" s="37" t="n">
        <f aca="false">SUMIFS('Raw Data'!$F$2:$F$114,'Raw Data'!$A$2:$A$114,$A6,'Raw Data'!$L$2:$L$114,"Copters")</f>
        <v>0</v>
      </c>
      <c r="Q6" s="37" t="n">
        <f aca="false">SUMIFS('Raw Data'!$F$2:$F$114,'Raw Data'!$A$2:$A$114,$A6,'Raw Data'!$E$2:$E$114,"Egg tart")</f>
        <v>0</v>
      </c>
      <c r="R6" s="37" t="n">
        <f aca="false">SUMIFS('Raw Data'!$F$2:$F$114,'Raw Data'!$A$2:$A$114,$A6,'Raw Data'!$E$2:$E$114,"Hot dog bun")</f>
        <v>0</v>
      </c>
      <c r="S6" s="37" t="n">
        <f aca="false">SUMIFS('Raw Data'!$F$2:$F$114,'Raw Data'!$A$2:$A$114,$A6,'Raw Data'!$E$2:$E$114,"S'mores")</f>
        <v>0</v>
      </c>
      <c r="T6" s="37" t="n">
        <f aca="false">SUMIFS('Raw Data'!$F$2:$F$114,'Raw Data'!$A$2:$A$114,$A6,'Raw Data'!$E$2:$E$114,"Chocolate bar")</f>
        <v>0</v>
      </c>
      <c r="U6" s="37" t="n">
        <f aca="false">SUMIFS('Raw Data'!$F$2:$F$114,'Raw Data'!$A$2:$A$114,$A6,'Raw Data'!$E$2:$E$114,"Avocado")</f>
        <v>1</v>
      </c>
      <c r="V6" s="37" t="n">
        <f aca="false">SUMIFS('Raw Data'!$F$2:$F$114,'Raw Data'!$A$2:$A$114,$A6,'Raw Data'!$E$2:$E$114,"Dumpling")</f>
        <v>0</v>
      </c>
      <c r="W6" s="37" t="n">
        <f aca="false">SUMIFS('Raw Data'!$F$2:$F$114,'Raw Data'!$A$2:$A$114,$A6,'Raw Data'!$E$2:$E$114,"Creeper")</f>
        <v>0</v>
      </c>
      <c r="X6" s="37" t="n">
        <f aca="false">SUMIFS('Raw Data'!$F$2:$F$114,'Raw Data'!$A$2:$A$114,$A6,'Raw Data'!$E$2:$E$114,"Oreo")</f>
        <v>0</v>
      </c>
      <c r="Y6" s="37" t="n">
        <f aca="false">SUMIFS('Raw Data'!$F$2:$F$114,'Raw Data'!$A$2:$A$114,$A6,'Raw Data'!$E$2:$E$114,"Spam musubi")</f>
        <v>0</v>
      </c>
      <c r="Z6" s="37" t="n">
        <f aca="false">SUMIFS('Raw Data'!$F$2:$F$114,'Raw Data'!$A$2:$A$114,$A6,'Raw Data'!$E$2:$E$114,"Salmon nigiri")</f>
        <v>0</v>
      </c>
      <c r="AA6" s="37" t="n">
        <f aca="false">SUMIFS('Raw Data'!$F$2:$F$114,'Raw Data'!$A$2:$A$114,$A6,'Raw Data'!$E$2:$E$114,"LEGO brick")</f>
        <v>0</v>
      </c>
      <c r="AB6" s="37" t="n">
        <f aca="false">SUMIFS('Raw Data'!$F$2:$F$114,'Raw Data'!$A$2:$A$114,$A6,'Raw Data'!$E$2:$E$114,"WD-40")</f>
        <v>0</v>
      </c>
      <c r="AC6" s="37" t="n">
        <f aca="false">SUMIFS('Raw Data'!$F$2:$F$114,'Raw Data'!$A$2:$A$114,$A6,'Raw Data'!$E$2:$E$114,"Creeper infinity cube")</f>
        <v>0</v>
      </c>
      <c r="AD6" s="37" t="n">
        <f aca="false">SUMIFS('Raw Data'!$F$2:$F$114,'Raw Data'!$A$2:$A$114,$A6,'Raw Data'!$E$2:$E$114,"Burger")</f>
        <v>0</v>
      </c>
      <c r="AE6" s="37" t="n">
        <f aca="false">SUMIFS('Raw Data'!$F$2:$F$114,'Raw Data'!$A$2:$A$114,$A6,'Raw Data'!$E$2:$E$114,"Full kit")</f>
        <v>0</v>
      </c>
      <c r="AF6" s="37" t="n">
        <f aca="false">SUMIFS('Raw Data'!$F$2:$F$114,'Raw Data'!$A$2:$A$114,$A6,'Raw Data'!$E$2:$E$114,"Kit w/ toroidal")</f>
        <v>0</v>
      </c>
    </row>
    <row r="7" customFormat="false" ht="15" hidden="false" customHeight="false" outlineLevel="0" collapsed="false">
      <c r="A7" s="17" t="s">
        <v>304</v>
      </c>
      <c r="B7" s="38" t="n">
        <v>46312.4329513889</v>
      </c>
      <c r="C7" s="38" t="n">
        <v>46312.4329976852</v>
      </c>
      <c r="D7" s="16" t="n">
        <f aca="false">(C7-B7)*86400</f>
        <v>4</v>
      </c>
      <c r="E7" s="17"/>
      <c r="F7" s="17"/>
      <c r="G7" s="16" t="n">
        <f aca="false">SUMIFS('Raw Data'!$G$2:$G$114,'Raw Data'!$A$2:$A$114,A7)</f>
        <v>10</v>
      </c>
      <c r="H7" s="16" t="n">
        <f aca="false">SUMIFS('Raw Data'!$F$2:$F$114,'Raw Data'!$A$2:$A$114,A7)</f>
        <v>3</v>
      </c>
      <c r="I7" s="16" t="n">
        <f aca="false">SUMIFS('Raw Data'!$K$2:$K$114,'Raw Data'!$A$2:$A$114,A7)</f>
        <v>1</v>
      </c>
      <c r="J7" s="16" t="n">
        <f aca="false">COUNTIF(Q7:AF7,"&gt;0")</f>
        <v>3</v>
      </c>
      <c r="K7" s="16" t="n">
        <f aca="false">COUNTIF(L7:P7,"&gt;0")</f>
        <v>3</v>
      </c>
      <c r="L7" s="37" t="n">
        <f aca="false">SUMIFS('Raw Data'!$F$2:$F$114,'Raw Data'!$A$2:$A$114,$A7,'Raw Data'!$L$2:$L$114,"Asian food")</f>
        <v>1</v>
      </c>
      <c r="M7" s="37" t="n">
        <f aca="false">SUMIFS('Raw Data'!$F$2:$F$114,'Raw Data'!$A$2:$A$114,$A7,'Raw Data'!$L$2:$L$114,"Snacks &amp; treats")</f>
        <v>1</v>
      </c>
      <c r="N7" s="37" t="n">
        <f aca="false">SUMIFS('Raw Data'!$F$2:$F$114,'Raw Data'!$A$2:$A$114,$A7,'Raw Data'!$L$2:$L$114,"Minecraft")</f>
        <v>1</v>
      </c>
      <c r="O7" s="37" t="n">
        <f aca="false">SUMIFS('Raw Data'!$F$2:$F$114,'Raw Data'!$A$2:$A$114,$A7,'Raw Data'!$L$2:$L$114,"Workshop")</f>
        <v>0</v>
      </c>
      <c r="P7" s="37" t="n">
        <f aca="false">SUMIFS('Raw Data'!$F$2:$F$114,'Raw Data'!$A$2:$A$114,$A7,'Raw Data'!$L$2:$L$114,"Copters")</f>
        <v>0</v>
      </c>
      <c r="Q7" s="37" t="n">
        <f aca="false">SUMIFS('Raw Data'!$F$2:$F$114,'Raw Data'!$A$2:$A$114,$A7,'Raw Data'!$E$2:$E$114,"Egg tart")</f>
        <v>0</v>
      </c>
      <c r="R7" s="37" t="n">
        <f aca="false">SUMIFS('Raw Data'!$F$2:$F$114,'Raw Data'!$A$2:$A$114,$A7,'Raw Data'!$E$2:$E$114,"Hot dog bun")</f>
        <v>0</v>
      </c>
      <c r="S7" s="37" t="n">
        <f aca="false">SUMIFS('Raw Data'!$F$2:$F$114,'Raw Data'!$A$2:$A$114,$A7,'Raw Data'!$E$2:$E$114,"S'mores")</f>
        <v>0</v>
      </c>
      <c r="T7" s="37" t="n">
        <f aca="false">SUMIFS('Raw Data'!$F$2:$F$114,'Raw Data'!$A$2:$A$114,$A7,'Raw Data'!$E$2:$E$114,"Chocolate bar")</f>
        <v>1</v>
      </c>
      <c r="U7" s="37" t="n">
        <f aca="false">SUMIFS('Raw Data'!$F$2:$F$114,'Raw Data'!$A$2:$A$114,$A7,'Raw Data'!$E$2:$E$114,"Avocado")</f>
        <v>0</v>
      </c>
      <c r="V7" s="37" t="n">
        <f aca="false">SUMIFS('Raw Data'!$F$2:$F$114,'Raw Data'!$A$2:$A$114,$A7,'Raw Data'!$E$2:$E$114,"Dumpling")</f>
        <v>0</v>
      </c>
      <c r="W7" s="37" t="n">
        <f aca="false">SUMIFS('Raw Data'!$F$2:$F$114,'Raw Data'!$A$2:$A$114,$A7,'Raw Data'!$E$2:$E$114,"Creeper")</f>
        <v>1</v>
      </c>
      <c r="X7" s="37" t="n">
        <f aca="false">SUMIFS('Raw Data'!$F$2:$F$114,'Raw Data'!$A$2:$A$114,$A7,'Raw Data'!$E$2:$E$114,"Oreo")</f>
        <v>0</v>
      </c>
      <c r="Y7" s="37" t="n">
        <f aca="false">SUMIFS('Raw Data'!$F$2:$F$114,'Raw Data'!$A$2:$A$114,$A7,'Raw Data'!$E$2:$E$114,"Spam musubi")</f>
        <v>0</v>
      </c>
      <c r="Z7" s="37" t="n">
        <f aca="false">SUMIFS('Raw Data'!$F$2:$F$114,'Raw Data'!$A$2:$A$114,$A7,'Raw Data'!$E$2:$E$114,"Salmon nigiri")</f>
        <v>1</v>
      </c>
      <c r="AA7" s="37" t="n">
        <f aca="false">SUMIFS('Raw Data'!$F$2:$F$114,'Raw Data'!$A$2:$A$114,$A7,'Raw Data'!$E$2:$E$114,"LEGO brick")</f>
        <v>0</v>
      </c>
      <c r="AB7" s="37" t="n">
        <f aca="false">SUMIFS('Raw Data'!$F$2:$F$114,'Raw Data'!$A$2:$A$114,$A7,'Raw Data'!$E$2:$E$114,"WD-40")</f>
        <v>0</v>
      </c>
      <c r="AC7" s="37" t="n">
        <f aca="false">SUMIFS('Raw Data'!$F$2:$F$114,'Raw Data'!$A$2:$A$114,$A7,'Raw Data'!$E$2:$E$114,"Creeper infinity cube")</f>
        <v>0</v>
      </c>
      <c r="AD7" s="37" t="n">
        <f aca="false">SUMIFS('Raw Data'!$F$2:$F$114,'Raw Data'!$A$2:$A$114,$A7,'Raw Data'!$E$2:$E$114,"Burger")</f>
        <v>0</v>
      </c>
      <c r="AE7" s="37" t="n">
        <f aca="false">SUMIFS('Raw Data'!$F$2:$F$114,'Raw Data'!$A$2:$A$114,$A7,'Raw Data'!$E$2:$E$114,"Full kit")</f>
        <v>0</v>
      </c>
      <c r="AF7" s="37" t="n">
        <f aca="false">SUMIFS('Raw Data'!$F$2:$F$114,'Raw Data'!$A$2:$A$114,$A7,'Raw Data'!$E$2:$E$114,"Kit w/ toroidal")</f>
        <v>0</v>
      </c>
    </row>
    <row r="8" customFormat="false" ht="15" hidden="false" customHeight="false" outlineLevel="0" collapsed="false">
      <c r="A8" s="17" t="s">
        <v>305</v>
      </c>
      <c r="B8" s="38" t="n">
        <v>46312.4347569444</v>
      </c>
      <c r="C8" s="38" t="n">
        <v>46312.4347800926</v>
      </c>
      <c r="D8" s="16" t="n">
        <f aca="false">(C8-B8)*86400</f>
        <v>2</v>
      </c>
      <c r="E8" s="17"/>
      <c r="F8" s="17"/>
      <c r="G8" s="16" t="n">
        <f aca="false">SUMIFS('Raw Data'!$G$2:$G$114,'Raw Data'!$A$2:$A$114,A8)</f>
        <v>7</v>
      </c>
      <c r="H8" s="16" t="n">
        <f aca="false">SUMIFS('Raw Data'!$F$2:$F$114,'Raw Data'!$A$2:$A$114,A8)</f>
        <v>2</v>
      </c>
      <c r="I8" s="16" t="n">
        <f aca="false">SUMIFS('Raw Data'!$K$2:$K$114,'Raw Data'!$A$2:$A$114,A8)</f>
        <v>0</v>
      </c>
      <c r="J8" s="16" t="n">
        <f aca="false">COUNTIF(Q8:AF8,"&gt;0")</f>
        <v>2</v>
      </c>
      <c r="K8" s="16" t="n">
        <f aca="false">COUNTIF(L8:P8,"&gt;0")</f>
        <v>1</v>
      </c>
      <c r="L8" s="37" t="n">
        <f aca="false">SUMIFS('Raw Data'!$F$2:$F$114,'Raw Data'!$A$2:$A$114,$A8,'Raw Data'!$L$2:$L$114,"Asian food")</f>
        <v>2</v>
      </c>
      <c r="M8" s="37" t="n">
        <f aca="false">SUMIFS('Raw Data'!$F$2:$F$114,'Raw Data'!$A$2:$A$114,$A8,'Raw Data'!$L$2:$L$114,"Snacks &amp; treats")</f>
        <v>0</v>
      </c>
      <c r="N8" s="37" t="n">
        <f aca="false">SUMIFS('Raw Data'!$F$2:$F$114,'Raw Data'!$A$2:$A$114,$A8,'Raw Data'!$L$2:$L$114,"Minecraft")</f>
        <v>0</v>
      </c>
      <c r="O8" s="37" t="n">
        <f aca="false">SUMIFS('Raw Data'!$F$2:$F$114,'Raw Data'!$A$2:$A$114,$A8,'Raw Data'!$L$2:$L$114,"Workshop")</f>
        <v>0</v>
      </c>
      <c r="P8" s="37" t="n">
        <f aca="false">SUMIFS('Raw Data'!$F$2:$F$114,'Raw Data'!$A$2:$A$114,$A8,'Raw Data'!$L$2:$L$114,"Copters")</f>
        <v>0</v>
      </c>
      <c r="Q8" s="37" t="n">
        <f aca="false">SUMIFS('Raw Data'!$F$2:$F$114,'Raw Data'!$A$2:$A$114,$A8,'Raw Data'!$E$2:$E$114,"Egg tart")</f>
        <v>0</v>
      </c>
      <c r="R8" s="37" t="n">
        <f aca="false">SUMIFS('Raw Data'!$F$2:$F$114,'Raw Data'!$A$2:$A$114,$A8,'Raw Data'!$E$2:$E$114,"Hot dog bun")</f>
        <v>0</v>
      </c>
      <c r="S8" s="37" t="n">
        <f aca="false">SUMIFS('Raw Data'!$F$2:$F$114,'Raw Data'!$A$2:$A$114,$A8,'Raw Data'!$E$2:$E$114,"S'mores")</f>
        <v>0</v>
      </c>
      <c r="T8" s="37" t="n">
        <f aca="false">SUMIFS('Raw Data'!$F$2:$F$114,'Raw Data'!$A$2:$A$114,$A8,'Raw Data'!$E$2:$E$114,"Chocolate bar")</f>
        <v>0</v>
      </c>
      <c r="U8" s="37" t="n">
        <f aca="false">SUMIFS('Raw Data'!$F$2:$F$114,'Raw Data'!$A$2:$A$114,$A8,'Raw Data'!$E$2:$E$114,"Avocado")</f>
        <v>0</v>
      </c>
      <c r="V8" s="37" t="n">
        <f aca="false">SUMIFS('Raw Data'!$F$2:$F$114,'Raw Data'!$A$2:$A$114,$A8,'Raw Data'!$E$2:$E$114,"Dumpling")</f>
        <v>0</v>
      </c>
      <c r="W8" s="37" t="n">
        <f aca="false">SUMIFS('Raw Data'!$F$2:$F$114,'Raw Data'!$A$2:$A$114,$A8,'Raw Data'!$E$2:$E$114,"Creeper")</f>
        <v>0</v>
      </c>
      <c r="X8" s="37" t="n">
        <f aca="false">SUMIFS('Raw Data'!$F$2:$F$114,'Raw Data'!$A$2:$A$114,$A8,'Raw Data'!$E$2:$E$114,"Oreo")</f>
        <v>0</v>
      </c>
      <c r="Y8" s="37" t="n">
        <f aca="false">SUMIFS('Raw Data'!$F$2:$F$114,'Raw Data'!$A$2:$A$114,$A8,'Raw Data'!$E$2:$E$114,"Spam musubi")</f>
        <v>1</v>
      </c>
      <c r="Z8" s="37" t="n">
        <f aca="false">SUMIFS('Raw Data'!$F$2:$F$114,'Raw Data'!$A$2:$A$114,$A8,'Raw Data'!$E$2:$E$114,"Salmon nigiri")</f>
        <v>1</v>
      </c>
      <c r="AA8" s="37" t="n">
        <f aca="false">SUMIFS('Raw Data'!$F$2:$F$114,'Raw Data'!$A$2:$A$114,$A8,'Raw Data'!$E$2:$E$114,"LEGO brick")</f>
        <v>0</v>
      </c>
      <c r="AB8" s="37" t="n">
        <f aca="false">SUMIFS('Raw Data'!$F$2:$F$114,'Raw Data'!$A$2:$A$114,$A8,'Raw Data'!$E$2:$E$114,"WD-40")</f>
        <v>0</v>
      </c>
      <c r="AC8" s="37" t="n">
        <f aca="false">SUMIFS('Raw Data'!$F$2:$F$114,'Raw Data'!$A$2:$A$114,$A8,'Raw Data'!$E$2:$E$114,"Creeper infinity cube")</f>
        <v>0</v>
      </c>
      <c r="AD8" s="37" t="n">
        <f aca="false">SUMIFS('Raw Data'!$F$2:$F$114,'Raw Data'!$A$2:$A$114,$A8,'Raw Data'!$E$2:$E$114,"Burger")</f>
        <v>0</v>
      </c>
      <c r="AE8" s="37" t="n">
        <f aca="false">SUMIFS('Raw Data'!$F$2:$F$114,'Raw Data'!$A$2:$A$114,$A8,'Raw Data'!$E$2:$E$114,"Full kit")</f>
        <v>0</v>
      </c>
      <c r="AF8" s="37" t="n">
        <f aca="false">SUMIFS('Raw Data'!$F$2:$F$114,'Raw Data'!$A$2:$A$114,$A8,'Raw Data'!$E$2:$E$114,"Kit w/ toroidal")</f>
        <v>0</v>
      </c>
    </row>
    <row r="9" customFormat="false" ht="15" hidden="false" customHeight="false" outlineLevel="0" collapsed="false">
      <c r="A9" s="17" t="s">
        <v>306</v>
      </c>
      <c r="B9" s="38" t="n">
        <v>46312.4416319444</v>
      </c>
      <c r="C9" s="38" t="n">
        <v>46312.441712963</v>
      </c>
      <c r="D9" s="16" t="n">
        <f aca="false">(C9-B9)*86400</f>
        <v>7.000001007</v>
      </c>
      <c r="E9" s="17" t="s">
        <v>251</v>
      </c>
      <c r="F9" s="17" t="s">
        <v>255</v>
      </c>
      <c r="G9" s="16" t="n">
        <f aca="false">SUMIFS('Raw Data'!$G$2:$G$114,'Raw Data'!$A$2:$A$114,A9)</f>
        <v>7</v>
      </c>
      <c r="H9" s="16" t="n">
        <f aca="false">SUMIFS('Raw Data'!$F$2:$F$114,'Raw Data'!$A$2:$A$114,A9)</f>
        <v>2</v>
      </c>
      <c r="I9" s="16" t="n">
        <f aca="false">SUMIFS('Raw Data'!$K$2:$K$114,'Raw Data'!$A$2:$A$114,A9)</f>
        <v>0</v>
      </c>
      <c r="J9" s="16" t="n">
        <f aca="false">COUNTIF(Q9:AF9,"&gt;0")</f>
        <v>2</v>
      </c>
      <c r="K9" s="16" t="n">
        <f aca="false">COUNTIF(L9:P9,"&gt;0")</f>
        <v>2</v>
      </c>
      <c r="L9" s="37" t="n">
        <f aca="false">SUMIFS('Raw Data'!$F$2:$F$114,'Raw Data'!$A$2:$A$114,$A9,'Raw Data'!$L$2:$L$114,"Asian food")</f>
        <v>0</v>
      </c>
      <c r="M9" s="37" t="n">
        <f aca="false">SUMIFS('Raw Data'!$F$2:$F$114,'Raw Data'!$A$2:$A$114,$A9,'Raw Data'!$L$2:$L$114,"Snacks &amp; treats")</f>
        <v>1</v>
      </c>
      <c r="N9" s="37" t="n">
        <f aca="false">SUMIFS('Raw Data'!$F$2:$F$114,'Raw Data'!$A$2:$A$114,$A9,'Raw Data'!$L$2:$L$114,"Minecraft")</f>
        <v>0</v>
      </c>
      <c r="O9" s="37" t="n">
        <f aca="false">SUMIFS('Raw Data'!$F$2:$F$114,'Raw Data'!$A$2:$A$114,$A9,'Raw Data'!$L$2:$L$114,"Workshop")</f>
        <v>1</v>
      </c>
      <c r="P9" s="37" t="n">
        <f aca="false">SUMIFS('Raw Data'!$F$2:$F$114,'Raw Data'!$A$2:$A$114,$A9,'Raw Data'!$L$2:$L$114,"Copters")</f>
        <v>0</v>
      </c>
      <c r="Q9" s="37" t="n">
        <f aca="false">SUMIFS('Raw Data'!$F$2:$F$114,'Raw Data'!$A$2:$A$114,$A9,'Raw Data'!$E$2:$E$114,"Egg tart")</f>
        <v>0</v>
      </c>
      <c r="R9" s="37" t="n">
        <f aca="false">SUMIFS('Raw Data'!$F$2:$F$114,'Raw Data'!$A$2:$A$114,$A9,'Raw Data'!$E$2:$E$114,"Hot dog bun")</f>
        <v>1</v>
      </c>
      <c r="S9" s="37" t="n">
        <f aca="false">SUMIFS('Raw Data'!$F$2:$F$114,'Raw Data'!$A$2:$A$114,$A9,'Raw Data'!$E$2:$E$114,"S'mores")</f>
        <v>0</v>
      </c>
      <c r="T9" s="37" t="n">
        <f aca="false">SUMIFS('Raw Data'!$F$2:$F$114,'Raw Data'!$A$2:$A$114,$A9,'Raw Data'!$E$2:$E$114,"Chocolate bar")</f>
        <v>0</v>
      </c>
      <c r="U9" s="37" t="n">
        <f aca="false">SUMIFS('Raw Data'!$F$2:$F$114,'Raw Data'!$A$2:$A$114,$A9,'Raw Data'!$E$2:$E$114,"Avocado")</f>
        <v>0</v>
      </c>
      <c r="V9" s="37" t="n">
        <f aca="false">SUMIFS('Raw Data'!$F$2:$F$114,'Raw Data'!$A$2:$A$114,$A9,'Raw Data'!$E$2:$E$114,"Dumpling")</f>
        <v>0</v>
      </c>
      <c r="W9" s="37" t="n">
        <f aca="false">SUMIFS('Raw Data'!$F$2:$F$114,'Raw Data'!$A$2:$A$114,$A9,'Raw Data'!$E$2:$E$114,"Creeper")</f>
        <v>0</v>
      </c>
      <c r="X9" s="37" t="n">
        <f aca="false">SUMIFS('Raw Data'!$F$2:$F$114,'Raw Data'!$A$2:$A$114,$A9,'Raw Data'!$E$2:$E$114,"Oreo")</f>
        <v>0</v>
      </c>
      <c r="Y9" s="37" t="n">
        <f aca="false">SUMIFS('Raw Data'!$F$2:$F$114,'Raw Data'!$A$2:$A$114,$A9,'Raw Data'!$E$2:$E$114,"Spam musubi")</f>
        <v>0</v>
      </c>
      <c r="Z9" s="37" t="n">
        <f aca="false">SUMIFS('Raw Data'!$F$2:$F$114,'Raw Data'!$A$2:$A$114,$A9,'Raw Data'!$E$2:$E$114,"Salmon nigiri")</f>
        <v>0</v>
      </c>
      <c r="AA9" s="37" t="n">
        <f aca="false">SUMIFS('Raw Data'!$F$2:$F$114,'Raw Data'!$A$2:$A$114,$A9,'Raw Data'!$E$2:$E$114,"LEGO brick")</f>
        <v>0</v>
      </c>
      <c r="AB9" s="37" t="n">
        <f aca="false">SUMIFS('Raw Data'!$F$2:$F$114,'Raw Data'!$A$2:$A$114,$A9,'Raw Data'!$E$2:$E$114,"WD-40")</f>
        <v>1</v>
      </c>
      <c r="AC9" s="37" t="n">
        <f aca="false">SUMIFS('Raw Data'!$F$2:$F$114,'Raw Data'!$A$2:$A$114,$A9,'Raw Data'!$E$2:$E$114,"Creeper infinity cube")</f>
        <v>0</v>
      </c>
      <c r="AD9" s="37" t="n">
        <f aca="false">SUMIFS('Raw Data'!$F$2:$F$114,'Raw Data'!$A$2:$A$114,$A9,'Raw Data'!$E$2:$E$114,"Burger")</f>
        <v>0</v>
      </c>
      <c r="AE9" s="37" t="n">
        <f aca="false">SUMIFS('Raw Data'!$F$2:$F$114,'Raw Data'!$A$2:$A$114,$A9,'Raw Data'!$E$2:$E$114,"Full kit")</f>
        <v>0</v>
      </c>
      <c r="AF9" s="37" t="n">
        <f aca="false">SUMIFS('Raw Data'!$F$2:$F$114,'Raw Data'!$A$2:$A$114,$A9,'Raw Data'!$E$2:$E$114,"Kit w/ toroidal")</f>
        <v>0</v>
      </c>
    </row>
    <row r="10" customFormat="false" ht="15" hidden="false" customHeight="false" outlineLevel="0" collapsed="false">
      <c r="A10" s="17" t="s">
        <v>307</v>
      </c>
      <c r="B10" s="38" t="n">
        <v>46312.4428125</v>
      </c>
      <c r="C10" s="38" t="n">
        <v>46312.4428472222</v>
      </c>
      <c r="D10" s="16" t="n">
        <f aca="false">(C10-B10)*86400</f>
        <v>3</v>
      </c>
      <c r="E10" s="17" t="s">
        <v>251</v>
      </c>
      <c r="F10" s="17" t="s">
        <v>255</v>
      </c>
      <c r="G10" s="16" t="n">
        <f aca="false">SUMIFS('Raw Data'!$G$2:$G$114,'Raw Data'!$A$2:$A$114,A10)</f>
        <v>6</v>
      </c>
      <c r="H10" s="16" t="n">
        <f aca="false">SUMIFS('Raw Data'!$F$2:$F$114,'Raw Data'!$A$2:$A$114,A10)</f>
        <v>1</v>
      </c>
      <c r="I10" s="16" t="n">
        <f aca="false">SUMIFS('Raw Data'!$K$2:$K$114,'Raw Data'!$A$2:$A$114,A10)</f>
        <v>0</v>
      </c>
      <c r="J10" s="16" t="n">
        <f aca="false">COUNTIF(Q10:AF10,"&gt;0")</f>
        <v>1</v>
      </c>
      <c r="K10" s="16" t="n">
        <f aca="false">COUNTIF(L10:P10,"&gt;0")</f>
        <v>1</v>
      </c>
      <c r="L10" s="37" t="n">
        <f aca="false">SUMIFS('Raw Data'!$F$2:$F$114,'Raw Data'!$A$2:$A$114,$A10,'Raw Data'!$L$2:$L$114,"Asian food")</f>
        <v>0</v>
      </c>
      <c r="M10" s="37" t="n">
        <f aca="false">SUMIFS('Raw Data'!$F$2:$F$114,'Raw Data'!$A$2:$A$114,$A10,'Raw Data'!$L$2:$L$114,"Snacks &amp; treats")</f>
        <v>0</v>
      </c>
      <c r="N10" s="37" t="n">
        <f aca="false">SUMIFS('Raw Data'!$F$2:$F$114,'Raw Data'!$A$2:$A$114,$A10,'Raw Data'!$L$2:$L$114,"Minecraft")</f>
        <v>0</v>
      </c>
      <c r="O10" s="37" t="n">
        <f aca="false">SUMIFS('Raw Data'!$F$2:$F$114,'Raw Data'!$A$2:$A$114,$A10,'Raw Data'!$L$2:$L$114,"Workshop")</f>
        <v>0</v>
      </c>
      <c r="P10" s="37" t="n">
        <f aca="false">SUMIFS('Raw Data'!$F$2:$F$114,'Raw Data'!$A$2:$A$114,$A10,'Raw Data'!$L$2:$L$114,"Copters")</f>
        <v>1</v>
      </c>
      <c r="Q10" s="37" t="n">
        <f aca="false">SUMIFS('Raw Data'!$F$2:$F$114,'Raw Data'!$A$2:$A$114,$A10,'Raw Data'!$E$2:$E$114,"Egg tart")</f>
        <v>0</v>
      </c>
      <c r="R10" s="37" t="n">
        <f aca="false">SUMIFS('Raw Data'!$F$2:$F$114,'Raw Data'!$A$2:$A$114,$A10,'Raw Data'!$E$2:$E$114,"Hot dog bun")</f>
        <v>0</v>
      </c>
      <c r="S10" s="37" t="n">
        <f aca="false">SUMIFS('Raw Data'!$F$2:$F$114,'Raw Data'!$A$2:$A$114,$A10,'Raw Data'!$E$2:$E$114,"S'mores")</f>
        <v>0</v>
      </c>
      <c r="T10" s="37" t="n">
        <f aca="false">SUMIFS('Raw Data'!$F$2:$F$114,'Raw Data'!$A$2:$A$114,$A10,'Raw Data'!$E$2:$E$114,"Chocolate bar")</f>
        <v>0</v>
      </c>
      <c r="U10" s="37" t="n">
        <f aca="false">SUMIFS('Raw Data'!$F$2:$F$114,'Raw Data'!$A$2:$A$114,$A10,'Raw Data'!$E$2:$E$114,"Avocado")</f>
        <v>0</v>
      </c>
      <c r="V10" s="37" t="n">
        <f aca="false">SUMIFS('Raw Data'!$F$2:$F$114,'Raw Data'!$A$2:$A$114,$A10,'Raw Data'!$E$2:$E$114,"Dumpling")</f>
        <v>0</v>
      </c>
      <c r="W10" s="37" t="n">
        <f aca="false">SUMIFS('Raw Data'!$F$2:$F$114,'Raw Data'!$A$2:$A$114,$A10,'Raw Data'!$E$2:$E$114,"Creeper")</f>
        <v>0</v>
      </c>
      <c r="X10" s="37" t="n">
        <f aca="false">SUMIFS('Raw Data'!$F$2:$F$114,'Raw Data'!$A$2:$A$114,$A10,'Raw Data'!$E$2:$E$114,"Oreo")</f>
        <v>0</v>
      </c>
      <c r="Y10" s="37" t="n">
        <f aca="false">SUMIFS('Raw Data'!$F$2:$F$114,'Raw Data'!$A$2:$A$114,$A10,'Raw Data'!$E$2:$E$114,"Spam musubi")</f>
        <v>0</v>
      </c>
      <c r="Z10" s="37" t="n">
        <f aca="false">SUMIFS('Raw Data'!$F$2:$F$114,'Raw Data'!$A$2:$A$114,$A10,'Raw Data'!$E$2:$E$114,"Salmon nigiri")</f>
        <v>0</v>
      </c>
      <c r="AA10" s="37" t="n">
        <f aca="false">SUMIFS('Raw Data'!$F$2:$F$114,'Raw Data'!$A$2:$A$114,$A10,'Raw Data'!$E$2:$E$114,"LEGO brick")</f>
        <v>0</v>
      </c>
      <c r="AB10" s="37" t="n">
        <f aca="false">SUMIFS('Raw Data'!$F$2:$F$114,'Raw Data'!$A$2:$A$114,$A10,'Raw Data'!$E$2:$E$114,"WD-40")</f>
        <v>0</v>
      </c>
      <c r="AC10" s="37" t="n">
        <f aca="false">SUMIFS('Raw Data'!$F$2:$F$114,'Raw Data'!$A$2:$A$114,$A10,'Raw Data'!$E$2:$E$114,"Creeper infinity cube")</f>
        <v>0</v>
      </c>
      <c r="AD10" s="37" t="n">
        <f aca="false">SUMIFS('Raw Data'!$F$2:$F$114,'Raw Data'!$A$2:$A$114,$A10,'Raw Data'!$E$2:$E$114,"Burger")</f>
        <v>0</v>
      </c>
      <c r="AE10" s="37" t="n">
        <f aca="false">SUMIFS('Raw Data'!$F$2:$F$114,'Raw Data'!$A$2:$A$114,$A10,'Raw Data'!$E$2:$E$114,"Full kit")</f>
        <v>0</v>
      </c>
      <c r="AF10" s="37" t="n">
        <f aca="false">SUMIFS('Raw Data'!$F$2:$F$114,'Raw Data'!$A$2:$A$114,$A10,'Raw Data'!$E$2:$E$114,"Kit w/ toroidal")</f>
        <v>1</v>
      </c>
    </row>
    <row r="11" customFormat="false" ht="15" hidden="false" customHeight="false" outlineLevel="0" collapsed="false">
      <c r="A11" s="17" t="s">
        <v>308</v>
      </c>
      <c r="B11" s="38" t="n">
        <v>46312.4429166667</v>
      </c>
      <c r="C11" s="38" t="n">
        <v>46312.4430208333</v>
      </c>
      <c r="D11" s="16" t="n">
        <f aca="false">(C11-B11)*86400</f>
        <v>9</v>
      </c>
      <c r="E11" s="17" t="s">
        <v>252</v>
      </c>
      <c r="F11" s="17" t="s">
        <v>255</v>
      </c>
      <c r="G11" s="16" t="n">
        <f aca="false">SUMIFS('Raw Data'!$G$2:$G$114,'Raw Data'!$A$2:$A$114,A11)</f>
        <v>10</v>
      </c>
      <c r="H11" s="16" t="n">
        <f aca="false">SUMIFS('Raw Data'!$F$2:$F$114,'Raw Data'!$A$2:$A$114,A11)</f>
        <v>3</v>
      </c>
      <c r="I11" s="16" t="n">
        <f aca="false">SUMIFS('Raw Data'!$K$2:$K$114,'Raw Data'!$A$2:$A$114,A11)</f>
        <v>1</v>
      </c>
      <c r="J11" s="16" t="n">
        <f aca="false">COUNTIF(Q11:AF11,"&gt;0")</f>
        <v>2</v>
      </c>
      <c r="K11" s="16" t="n">
        <f aca="false">COUNTIF(L11:P11,"&gt;0")</f>
        <v>2</v>
      </c>
      <c r="L11" s="37" t="n">
        <f aca="false">SUMIFS('Raw Data'!$F$2:$F$114,'Raw Data'!$A$2:$A$114,$A11,'Raw Data'!$L$2:$L$114,"Asian food")</f>
        <v>2</v>
      </c>
      <c r="M11" s="37" t="n">
        <f aca="false">SUMIFS('Raw Data'!$F$2:$F$114,'Raw Data'!$A$2:$A$114,$A11,'Raw Data'!$L$2:$L$114,"Snacks &amp; treats")</f>
        <v>0</v>
      </c>
      <c r="N11" s="37" t="n">
        <f aca="false">SUMIFS('Raw Data'!$F$2:$F$114,'Raw Data'!$A$2:$A$114,$A11,'Raw Data'!$L$2:$L$114,"Minecraft")</f>
        <v>1</v>
      </c>
      <c r="O11" s="37" t="n">
        <f aca="false">SUMIFS('Raw Data'!$F$2:$F$114,'Raw Data'!$A$2:$A$114,$A11,'Raw Data'!$L$2:$L$114,"Workshop")</f>
        <v>0</v>
      </c>
      <c r="P11" s="37" t="n">
        <f aca="false">SUMIFS('Raw Data'!$F$2:$F$114,'Raw Data'!$A$2:$A$114,$A11,'Raw Data'!$L$2:$L$114,"Copters")</f>
        <v>0</v>
      </c>
      <c r="Q11" s="37" t="n">
        <f aca="false">SUMIFS('Raw Data'!$F$2:$F$114,'Raw Data'!$A$2:$A$114,$A11,'Raw Data'!$E$2:$E$114,"Egg tart")</f>
        <v>0</v>
      </c>
      <c r="R11" s="37" t="n">
        <f aca="false">SUMIFS('Raw Data'!$F$2:$F$114,'Raw Data'!$A$2:$A$114,$A11,'Raw Data'!$E$2:$E$114,"Hot dog bun")</f>
        <v>0</v>
      </c>
      <c r="S11" s="37" t="n">
        <f aca="false">SUMIFS('Raw Data'!$F$2:$F$114,'Raw Data'!$A$2:$A$114,$A11,'Raw Data'!$E$2:$E$114,"S'mores")</f>
        <v>0</v>
      </c>
      <c r="T11" s="37" t="n">
        <f aca="false">SUMIFS('Raw Data'!$F$2:$F$114,'Raw Data'!$A$2:$A$114,$A11,'Raw Data'!$E$2:$E$114,"Chocolate bar")</f>
        <v>0</v>
      </c>
      <c r="U11" s="37" t="n">
        <f aca="false">SUMIFS('Raw Data'!$F$2:$F$114,'Raw Data'!$A$2:$A$114,$A11,'Raw Data'!$E$2:$E$114,"Avocado")</f>
        <v>0</v>
      </c>
      <c r="V11" s="37" t="n">
        <f aca="false">SUMIFS('Raw Data'!$F$2:$F$114,'Raw Data'!$A$2:$A$114,$A11,'Raw Data'!$E$2:$E$114,"Dumpling")</f>
        <v>0</v>
      </c>
      <c r="W11" s="37" t="n">
        <f aca="false">SUMIFS('Raw Data'!$F$2:$F$114,'Raw Data'!$A$2:$A$114,$A11,'Raw Data'!$E$2:$E$114,"Creeper")</f>
        <v>0</v>
      </c>
      <c r="X11" s="37" t="n">
        <f aca="false">SUMIFS('Raw Data'!$F$2:$F$114,'Raw Data'!$A$2:$A$114,$A11,'Raw Data'!$E$2:$E$114,"Oreo")</f>
        <v>0</v>
      </c>
      <c r="Y11" s="37" t="n">
        <f aca="false">SUMIFS('Raw Data'!$F$2:$F$114,'Raw Data'!$A$2:$A$114,$A11,'Raw Data'!$E$2:$E$114,"Spam musubi")</f>
        <v>0</v>
      </c>
      <c r="Z11" s="37" t="n">
        <f aca="false">SUMIFS('Raw Data'!$F$2:$F$114,'Raw Data'!$A$2:$A$114,$A11,'Raw Data'!$E$2:$E$114,"Salmon nigiri")</f>
        <v>2</v>
      </c>
      <c r="AA11" s="37" t="n">
        <f aca="false">SUMIFS('Raw Data'!$F$2:$F$114,'Raw Data'!$A$2:$A$114,$A11,'Raw Data'!$E$2:$E$114,"LEGO brick")</f>
        <v>0</v>
      </c>
      <c r="AB11" s="37" t="n">
        <f aca="false">SUMIFS('Raw Data'!$F$2:$F$114,'Raw Data'!$A$2:$A$114,$A11,'Raw Data'!$E$2:$E$114,"WD-40")</f>
        <v>0</v>
      </c>
      <c r="AC11" s="37" t="n">
        <f aca="false">SUMIFS('Raw Data'!$F$2:$F$114,'Raw Data'!$A$2:$A$114,$A11,'Raw Data'!$E$2:$E$114,"Creeper infinity cube")</f>
        <v>1</v>
      </c>
      <c r="AD11" s="37" t="n">
        <f aca="false">SUMIFS('Raw Data'!$F$2:$F$114,'Raw Data'!$A$2:$A$114,$A11,'Raw Data'!$E$2:$E$114,"Burger")</f>
        <v>0</v>
      </c>
      <c r="AE11" s="37" t="n">
        <f aca="false">SUMIFS('Raw Data'!$F$2:$F$114,'Raw Data'!$A$2:$A$114,$A11,'Raw Data'!$E$2:$E$114,"Full kit")</f>
        <v>0</v>
      </c>
      <c r="AF11" s="37" t="n">
        <f aca="false">SUMIFS('Raw Data'!$F$2:$F$114,'Raw Data'!$A$2:$A$114,$A11,'Raw Data'!$E$2:$E$114,"Kit w/ toroidal")</f>
        <v>0</v>
      </c>
    </row>
    <row r="12" customFormat="false" ht="15" hidden="false" customHeight="false" outlineLevel="0" collapsed="false">
      <c r="A12" s="17" t="s">
        <v>309</v>
      </c>
      <c r="B12" s="38" t="n">
        <v>46312.4453125</v>
      </c>
      <c r="C12" s="38" t="n">
        <v>46312.4453472222</v>
      </c>
      <c r="D12" s="16" t="n">
        <f aca="false">(C12-B12)*86400</f>
        <v>3</v>
      </c>
      <c r="E12" s="17"/>
      <c r="F12" s="17"/>
      <c r="G12" s="16" t="n">
        <f aca="false">SUMIFS('Raw Data'!$G$2:$G$114,'Raw Data'!$A$2:$A$114,A12)</f>
        <v>10</v>
      </c>
      <c r="H12" s="16" t="n">
        <f aca="false">SUMIFS('Raw Data'!$F$2:$F$114,'Raw Data'!$A$2:$A$114,A12)</f>
        <v>3</v>
      </c>
      <c r="I12" s="16" t="n">
        <f aca="false">SUMIFS('Raw Data'!$K$2:$K$114,'Raw Data'!$A$2:$A$114,A12)</f>
        <v>1</v>
      </c>
      <c r="J12" s="16" t="n">
        <f aca="false">COUNTIF(Q12:AF12,"&gt;0")</f>
        <v>3</v>
      </c>
      <c r="K12" s="16" t="n">
        <f aca="false">COUNTIF(L12:P12,"&gt;0")</f>
        <v>3</v>
      </c>
      <c r="L12" s="37" t="n">
        <f aca="false">SUMIFS('Raw Data'!$F$2:$F$114,'Raw Data'!$A$2:$A$114,$A12,'Raw Data'!$L$2:$L$114,"Asian food")</f>
        <v>1</v>
      </c>
      <c r="M12" s="37" t="n">
        <f aca="false">SUMIFS('Raw Data'!$F$2:$F$114,'Raw Data'!$A$2:$A$114,$A12,'Raw Data'!$L$2:$L$114,"Snacks &amp; treats")</f>
        <v>1</v>
      </c>
      <c r="N12" s="37" t="n">
        <f aca="false">SUMIFS('Raw Data'!$F$2:$F$114,'Raw Data'!$A$2:$A$114,$A12,'Raw Data'!$L$2:$L$114,"Minecraft")</f>
        <v>0</v>
      </c>
      <c r="O12" s="37" t="n">
        <f aca="false">SUMIFS('Raw Data'!$F$2:$F$114,'Raw Data'!$A$2:$A$114,$A12,'Raw Data'!$L$2:$L$114,"Workshop")</f>
        <v>1</v>
      </c>
      <c r="P12" s="37" t="n">
        <f aca="false">SUMIFS('Raw Data'!$F$2:$F$114,'Raw Data'!$A$2:$A$114,$A12,'Raw Data'!$L$2:$L$114,"Copters")</f>
        <v>0</v>
      </c>
      <c r="Q12" s="37" t="n">
        <f aca="false">SUMIFS('Raw Data'!$F$2:$F$114,'Raw Data'!$A$2:$A$114,$A12,'Raw Data'!$E$2:$E$114,"Egg tart")</f>
        <v>0</v>
      </c>
      <c r="R12" s="37" t="n">
        <f aca="false">SUMIFS('Raw Data'!$F$2:$F$114,'Raw Data'!$A$2:$A$114,$A12,'Raw Data'!$E$2:$E$114,"Hot dog bun")</f>
        <v>0</v>
      </c>
      <c r="S12" s="37" t="n">
        <f aca="false">SUMIFS('Raw Data'!$F$2:$F$114,'Raw Data'!$A$2:$A$114,$A12,'Raw Data'!$E$2:$E$114,"S'mores")</f>
        <v>0</v>
      </c>
      <c r="T12" s="37" t="n">
        <f aca="false">SUMIFS('Raw Data'!$F$2:$F$114,'Raw Data'!$A$2:$A$114,$A12,'Raw Data'!$E$2:$E$114,"Chocolate bar")</f>
        <v>0</v>
      </c>
      <c r="U12" s="37" t="n">
        <f aca="false">SUMIFS('Raw Data'!$F$2:$F$114,'Raw Data'!$A$2:$A$114,$A12,'Raw Data'!$E$2:$E$114,"Avocado")</f>
        <v>1</v>
      </c>
      <c r="V12" s="37" t="n">
        <f aca="false">SUMIFS('Raw Data'!$F$2:$F$114,'Raw Data'!$A$2:$A$114,$A12,'Raw Data'!$E$2:$E$114,"Dumpling")</f>
        <v>0</v>
      </c>
      <c r="W12" s="37" t="n">
        <f aca="false">SUMIFS('Raw Data'!$F$2:$F$114,'Raw Data'!$A$2:$A$114,$A12,'Raw Data'!$E$2:$E$114,"Creeper")</f>
        <v>0</v>
      </c>
      <c r="X12" s="37" t="n">
        <f aca="false">SUMIFS('Raw Data'!$F$2:$F$114,'Raw Data'!$A$2:$A$114,$A12,'Raw Data'!$E$2:$E$114,"Oreo")</f>
        <v>0</v>
      </c>
      <c r="Y12" s="37" t="n">
        <f aca="false">SUMIFS('Raw Data'!$F$2:$F$114,'Raw Data'!$A$2:$A$114,$A12,'Raw Data'!$E$2:$E$114,"Spam musubi")</f>
        <v>0</v>
      </c>
      <c r="Z12" s="37" t="n">
        <f aca="false">SUMIFS('Raw Data'!$F$2:$F$114,'Raw Data'!$A$2:$A$114,$A12,'Raw Data'!$E$2:$E$114,"Salmon nigiri")</f>
        <v>1</v>
      </c>
      <c r="AA12" s="37" t="n">
        <f aca="false">SUMIFS('Raw Data'!$F$2:$F$114,'Raw Data'!$A$2:$A$114,$A12,'Raw Data'!$E$2:$E$114,"LEGO brick")</f>
        <v>1</v>
      </c>
      <c r="AB12" s="37" t="n">
        <f aca="false">SUMIFS('Raw Data'!$F$2:$F$114,'Raw Data'!$A$2:$A$114,$A12,'Raw Data'!$E$2:$E$114,"WD-40")</f>
        <v>0</v>
      </c>
      <c r="AC12" s="37" t="n">
        <f aca="false">SUMIFS('Raw Data'!$F$2:$F$114,'Raw Data'!$A$2:$A$114,$A12,'Raw Data'!$E$2:$E$114,"Creeper infinity cube")</f>
        <v>0</v>
      </c>
      <c r="AD12" s="37" t="n">
        <f aca="false">SUMIFS('Raw Data'!$F$2:$F$114,'Raw Data'!$A$2:$A$114,$A12,'Raw Data'!$E$2:$E$114,"Burger")</f>
        <v>0</v>
      </c>
      <c r="AE12" s="37" t="n">
        <f aca="false">SUMIFS('Raw Data'!$F$2:$F$114,'Raw Data'!$A$2:$A$114,$A12,'Raw Data'!$E$2:$E$114,"Full kit")</f>
        <v>0</v>
      </c>
      <c r="AF12" s="37" t="n">
        <f aca="false">SUMIFS('Raw Data'!$F$2:$F$114,'Raw Data'!$A$2:$A$114,$A12,'Raw Data'!$E$2:$E$114,"Kit w/ toroidal")</f>
        <v>0</v>
      </c>
    </row>
    <row r="13" customFormat="false" ht="15" hidden="false" customHeight="false" outlineLevel="0" collapsed="false">
      <c r="A13" s="17" t="s">
        <v>310</v>
      </c>
      <c r="B13" s="38" t="n">
        <v>46312.4458333333</v>
      </c>
      <c r="C13" s="38" t="n">
        <v>46312.4460069445</v>
      </c>
      <c r="D13" s="16" t="n">
        <f aca="false">(C13-B13)*86400</f>
        <v>15</v>
      </c>
      <c r="E13" s="17" t="s">
        <v>252</v>
      </c>
      <c r="F13" s="17" t="s">
        <v>256</v>
      </c>
      <c r="G13" s="16" t="n">
        <f aca="false">SUMIFS('Raw Data'!$G$2:$G$114,'Raw Data'!$A$2:$A$114,A13)</f>
        <v>10</v>
      </c>
      <c r="H13" s="16" t="n">
        <f aca="false">SUMIFS('Raw Data'!$F$2:$F$114,'Raw Data'!$A$2:$A$114,A13)</f>
        <v>3</v>
      </c>
      <c r="I13" s="16" t="n">
        <f aca="false">SUMIFS('Raw Data'!$K$2:$K$114,'Raw Data'!$A$2:$A$114,A13)</f>
        <v>1</v>
      </c>
      <c r="J13" s="16" t="n">
        <f aca="false">COUNTIF(Q13:AF13,"&gt;0")</f>
        <v>3</v>
      </c>
      <c r="K13" s="16" t="n">
        <f aca="false">COUNTIF(L13:P13,"&gt;0")</f>
        <v>3</v>
      </c>
      <c r="L13" s="37" t="n">
        <f aca="false">SUMIFS('Raw Data'!$F$2:$F$114,'Raw Data'!$A$2:$A$114,$A13,'Raw Data'!$L$2:$L$114,"Asian food")</f>
        <v>1</v>
      </c>
      <c r="M13" s="37" t="n">
        <f aca="false">SUMIFS('Raw Data'!$F$2:$F$114,'Raw Data'!$A$2:$A$114,$A13,'Raw Data'!$L$2:$L$114,"Snacks &amp; treats")</f>
        <v>1</v>
      </c>
      <c r="N13" s="37" t="n">
        <f aca="false">SUMIFS('Raw Data'!$F$2:$F$114,'Raw Data'!$A$2:$A$114,$A13,'Raw Data'!$L$2:$L$114,"Minecraft")</f>
        <v>0</v>
      </c>
      <c r="O13" s="37" t="n">
        <f aca="false">SUMIFS('Raw Data'!$F$2:$F$114,'Raw Data'!$A$2:$A$114,$A13,'Raw Data'!$L$2:$L$114,"Workshop")</f>
        <v>1</v>
      </c>
      <c r="P13" s="37" t="n">
        <f aca="false">SUMIFS('Raw Data'!$F$2:$F$114,'Raw Data'!$A$2:$A$114,$A13,'Raw Data'!$L$2:$L$114,"Copters")</f>
        <v>0</v>
      </c>
      <c r="Q13" s="37" t="n">
        <f aca="false">SUMIFS('Raw Data'!$F$2:$F$114,'Raw Data'!$A$2:$A$114,$A13,'Raw Data'!$E$2:$E$114,"Egg tart")</f>
        <v>0</v>
      </c>
      <c r="R13" s="37" t="n">
        <f aca="false">SUMIFS('Raw Data'!$F$2:$F$114,'Raw Data'!$A$2:$A$114,$A13,'Raw Data'!$E$2:$E$114,"Hot dog bun")</f>
        <v>0</v>
      </c>
      <c r="S13" s="37" t="n">
        <f aca="false">SUMIFS('Raw Data'!$F$2:$F$114,'Raw Data'!$A$2:$A$114,$A13,'Raw Data'!$E$2:$E$114,"S'mores")</f>
        <v>0</v>
      </c>
      <c r="T13" s="37" t="n">
        <f aca="false">SUMIFS('Raw Data'!$F$2:$F$114,'Raw Data'!$A$2:$A$114,$A13,'Raw Data'!$E$2:$E$114,"Chocolate bar")</f>
        <v>1</v>
      </c>
      <c r="U13" s="37" t="n">
        <f aca="false">SUMIFS('Raw Data'!$F$2:$F$114,'Raw Data'!$A$2:$A$114,$A13,'Raw Data'!$E$2:$E$114,"Avocado")</f>
        <v>0</v>
      </c>
      <c r="V13" s="37" t="n">
        <f aca="false">SUMIFS('Raw Data'!$F$2:$F$114,'Raw Data'!$A$2:$A$114,$A13,'Raw Data'!$E$2:$E$114,"Dumpling")</f>
        <v>0</v>
      </c>
      <c r="W13" s="37" t="n">
        <f aca="false">SUMIFS('Raw Data'!$F$2:$F$114,'Raw Data'!$A$2:$A$114,$A13,'Raw Data'!$E$2:$E$114,"Creeper")</f>
        <v>0</v>
      </c>
      <c r="X13" s="37" t="n">
        <f aca="false">SUMIFS('Raw Data'!$F$2:$F$114,'Raw Data'!$A$2:$A$114,$A13,'Raw Data'!$E$2:$E$114,"Oreo")</f>
        <v>0</v>
      </c>
      <c r="Y13" s="37" t="n">
        <f aca="false">SUMIFS('Raw Data'!$F$2:$F$114,'Raw Data'!$A$2:$A$114,$A13,'Raw Data'!$E$2:$E$114,"Spam musubi")</f>
        <v>0</v>
      </c>
      <c r="Z13" s="37" t="n">
        <f aca="false">SUMIFS('Raw Data'!$F$2:$F$114,'Raw Data'!$A$2:$A$114,$A13,'Raw Data'!$E$2:$E$114,"Salmon nigiri")</f>
        <v>1</v>
      </c>
      <c r="AA13" s="37" t="n">
        <f aca="false">SUMIFS('Raw Data'!$F$2:$F$114,'Raw Data'!$A$2:$A$114,$A13,'Raw Data'!$E$2:$E$114,"LEGO brick")</f>
        <v>1</v>
      </c>
      <c r="AB13" s="37" t="n">
        <f aca="false">SUMIFS('Raw Data'!$F$2:$F$114,'Raw Data'!$A$2:$A$114,$A13,'Raw Data'!$E$2:$E$114,"WD-40")</f>
        <v>0</v>
      </c>
      <c r="AC13" s="37" t="n">
        <f aca="false">SUMIFS('Raw Data'!$F$2:$F$114,'Raw Data'!$A$2:$A$114,$A13,'Raw Data'!$E$2:$E$114,"Creeper infinity cube")</f>
        <v>0</v>
      </c>
      <c r="AD13" s="37" t="n">
        <f aca="false">SUMIFS('Raw Data'!$F$2:$F$114,'Raw Data'!$A$2:$A$114,$A13,'Raw Data'!$E$2:$E$114,"Burger")</f>
        <v>0</v>
      </c>
      <c r="AE13" s="37" t="n">
        <f aca="false">SUMIFS('Raw Data'!$F$2:$F$114,'Raw Data'!$A$2:$A$114,$A13,'Raw Data'!$E$2:$E$114,"Full kit")</f>
        <v>0</v>
      </c>
      <c r="AF13" s="37" t="n">
        <f aca="false">SUMIFS('Raw Data'!$F$2:$F$114,'Raw Data'!$A$2:$A$114,$A13,'Raw Data'!$E$2:$E$114,"Kit w/ toroidal")</f>
        <v>0</v>
      </c>
    </row>
    <row r="14" customFormat="false" ht="15" hidden="false" customHeight="false" outlineLevel="0" collapsed="false">
      <c r="A14" s="17" t="s">
        <v>311</v>
      </c>
      <c r="B14" s="38" t="n">
        <v>46312.4468055556</v>
      </c>
      <c r="C14" s="38" t="n">
        <v>46312.4468634259</v>
      </c>
      <c r="D14" s="16" t="n">
        <f aca="false">(C14-B14)*86400</f>
        <v>4.999998654</v>
      </c>
      <c r="E14" s="17" t="s">
        <v>252</v>
      </c>
      <c r="F14" s="17" t="s">
        <v>255</v>
      </c>
      <c r="G14" s="16" t="n">
        <f aca="false">SUMIFS('Raw Data'!$G$2:$G$114,'Raw Data'!$A$2:$A$114,A14)</f>
        <v>4</v>
      </c>
      <c r="H14" s="16" t="n">
        <f aca="false">SUMIFS('Raw Data'!$F$2:$F$114,'Raw Data'!$A$2:$A$114,A14)</f>
        <v>1</v>
      </c>
      <c r="I14" s="16" t="n">
        <f aca="false">SUMIFS('Raw Data'!$K$2:$K$114,'Raw Data'!$A$2:$A$114,A14)</f>
        <v>0</v>
      </c>
      <c r="J14" s="16" t="n">
        <f aca="false">COUNTIF(Q14:AF14,"&gt;0")</f>
        <v>1</v>
      </c>
      <c r="K14" s="16" t="n">
        <f aca="false">COUNTIF(L14:P14,"&gt;0")</f>
        <v>1</v>
      </c>
      <c r="L14" s="37" t="n">
        <f aca="false">SUMIFS('Raw Data'!$F$2:$F$114,'Raw Data'!$A$2:$A$114,$A14,'Raw Data'!$L$2:$L$114,"Asian food")</f>
        <v>1</v>
      </c>
      <c r="M14" s="37" t="n">
        <f aca="false">SUMIFS('Raw Data'!$F$2:$F$114,'Raw Data'!$A$2:$A$114,$A14,'Raw Data'!$L$2:$L$114,"Snacks &amp; treats")</f>
        <v>0</v>
      </c>
      <c r="N14" s="37" t="n">
        <f aca="false">SUMIFS('Raw Data'!$F$2:$F$114,'Raw Data'!$A$2:$A$114,$A14,'Raw Data'!$L$2:$L$114,"Minecraft")</f>
        <v>0</v>
      </c>
      <c r="O14" s="37" t="n">
        <f aca="false">SUMIFS('Raw Data'!$F$2:$F$114,'Raw Data'!$A$2:$A$114,$A14,'Raw Data'!$L$2:$L$114,"Workshop")</f>
        <v>0</v>
      </c>
      <c r="P14" s="37" t="n">
        <f aca="false">SUMIFS('Raw Data'!$F$2:$F$114,'Raw Data'!$A$2:$A$114,$A14,'Raw Data'!$L$2:$L$114,"Copters")</f>
        <v>0</v>
      </c>
      <c r="Q14" s="37" t="n">
        <f aca="false">SUMIFS('Raw Data'!$F$2:$F$114,'Raw Data'!$A$2:$A$114,$A14,'Raw Data'!$E$2:$E$114,"Egg tart")</f>
        <v>0</v>
      </c>
      <c r="R14" s="37" t="n">
        <f aca="false">SUMIFS('Raw Data'!$F$2:$F$114,'Raw Data'!$A$2:$A$114,$A14,'Raw Data'!$E$2:$E$114,"Hot dog bun")</f>
        <v>0</v>
      </c>
      <c r="S14" s="37" t="n">
        <f aca="false">SUMIFS('Raw Data'!$F$2:$F$114,'Raw Data'!$A$2:$A$114,$A14,'Raw Data'!$E$2:$E$114,"S'mores")</f>
        <v>0</v>
      </c>
      <c r="T14" s="37" t="n">
        <f aca="false">SUMIFS('Raw Data'!$F$2:$F$114,'Raw Data'!$A$2:$A$114,$A14,'Raw Data'!$E$2:$E$114,"Chocolate bar")</f>
        <v>0</v>
      </c>
      <c r="U14" s="37" t="n">
        <f aca="false">SUMIFS('Raw Data'!$F$2:$F$114,'Raw Data'!$A$2:$A$114,$A14,'Raw Data'!$E$2:$E$114,"Avocado")</f>
        <v>0</v>
      </c>
      <c r="V14" s="37" t="n">
        <f aca="false">SUMIFS('Raw Data'!$F$2:$F$114,'Raw Data'!$A$2:$A$114,$A14,'Raw Data'!$E$2:$E$114,"Dumpling")</f>
        <v>0</v>
      </c>
      <c r="W14" s="37" t="n">
        <f aca="false">SUMIFS('Raw Data'!$F$2:$F$114,'Raw Data'!$A$2:$A$114,$A14,'Raw Data'!$E$2:$E$114,"Creeper")</f>
        <v>0</v>
      </c>
      <c r="X14" s="37" t="n">
        <f aca="false">SUMIFS('Raw Data'!$F$2:$F$114,'Raw Data'!$A$2:$A$114,$A14,'Raw Data'!$E$2:$E$114,"Oreo")</f>
        <v>0</v>
      </c>
      <c r="Y14" s="37" t="n">
        <f aca="false">SUMIFS('Raw Data'!$F$2:$F$114,'Raw Data'!$A$2:$A$114,$A14,'Raw Data'!$E$2:$E$114,"Spam musubi")</f>
        <v>0</v>
      </c>
      <c r="Z14" s="37" t="n">
        <f aca="false">SUMIFS('Raw Data'!$F$2:$F$114,'Raw Data'!$A$2:$A$114,$A14,'Raw Data'!$E$2:$E$114,"Salmon nigiri")</f>
        <v>1</v>
      </c>
      <c r="AA14" s="37" t="n">
        <f aca="false">SUMIFS('Raw Data'!$F$2:$F$114,'Raw Data'!$A$2:$A$114,$A14,'Raw Data'!$E$2:$E$114,"LEGO brick")</f>
        <v>0</v>
      </c>
      <c r="AB14" s="37" t="n">
        <f aca="false">SUMIFS('Raw Data'!$F$2:$F$114,'Raw Data'!$A$2:$A$114,$A14,'Raw Data'!$E$2:$E$114,"WD-40")</f>
        <v>0</v>
      </c>
      <c r="AC14" s="37" t="n">
        <f aca="false">SUMIFS('Raw Data'!$F$2:$F$114,'Raw Data'!$A$2:$A$114,$A14,'Raw Data'!$E$2:$E$114,"Creeper infinity cube")</f>
        <v>0</v>
      </c>
      <c r="AD14" s="37" t="n">
        <f aca="false">SUMIFS('Raw Data'!$F$2:$F$114,'Raw Data'!$A$2:$A$114,$A14,'Raw Data'!$E$2:$E$114,"Burger")</f>
        <v>0</v>
      </c>
      <c r="AE14" s="37" t="n">
        <f aca="false">SUMIFS('Raw Data'!$F$2:$F$114,'Raw Data'!$A$2:$A$114,$A14,'Raw Data'!$E$2:$E$114,"Full kit")</f>
        <v>0</v>
      </c>
      <c r="AF14" s="37" t="n">
        <f aca="false">SUMIFS('Raw Data'!$F$2:$F$114,'Raw Data'!$A$2:$A$114,$A14,'Raw Data'!$E$2:$E$114,"Kit w/ toroidal")</f>
        <v>0</v>
      </c>
    </row>
    <row r="15" customFormat="false" ht="15" hidden="false" customHeight="false" outlineLevel="0" collapsed="false">
      <c r="A15" s="17" t="s">
        <v>312</v>
      </c>
      <c r="B15" s="38" t="n">
        <v>46312.4481134259</v>
      </c>
      <c r="C15" s="38" t="n">
        <v>46312.4484490741</v>
      </c>
      <c r="D15" s="16" t="n">
        <f aca="false">(C15-B15)*86400</f>
        <v>29</v>
      </c>
      <c r="E15" s="17" t="s">
        <v>251</v>
      </c>
      <c r="F15" s="17" t="s">
        <v>255</v>
      </c>
      <c r="G15" s="16" t="n">
        <f aca="false">SUMIFS('Raw Data'!$G$2:$G$114,'Raw Data'!$A$2:$A$114,A15)</f>
        <v>10</v>
      </c>
      <c r="H15" s="16" t="n">
        <f aca="false">SUMIFS('Raw Data'!$F$2:$F$114,'Raw Data'!$A$2:$A$114,A15)</f>
        <v>3</v>
      </c>
      <c r="I15" s="16" t="n">
        <f aca="false">SUMIFS('Raw Data'!$K$2:$K$114,'Raw Data'!$A$2:$A$114,A15)</f>
        <v>1</v>
      </c>
      <c r="J15" s="16" t="n">
        <f aca="false">COUNTIF(Q15:AF15,"&gt;0")</f>
        <v>3</v>
      </c>
      <c r="K15" s="16" t="n">
        <f aca="false">COUNTIF(L15:P15,"&gt;0")</f>
        <v>2</v>
      </c>
      <c r="L15" s="37" t="n">
        <f aca="false">SUMIFS('Raw Data'!$F$2:$F$114,'Raw Data'!$A$2:$A$114,$A15,'Raw Data'!$L$2:$L$114,"Asian food")</f>
        <v>1</v>
      </c>
      <c r="M15" s="37" t="n">
        <f aca="false">SUMIFS('Raw Data'!$F$2:$F$114,'Raw Data'!$A$2:$A$114,$A15,'Raw Data'!$L$2:$L$114,"Snacks &amp; treats")</f>
        <v>0</v>
      </c>
      <c r="N15" s="37" t="n">
        <f aca="false">SUMIFS('Raw Data'!$F$2:$F$114,'Raw Data'!$A$2:$A$114,$A15,'Raw Data'!$L$2:$L$114,"Minecraft")</f>
        <v>2</v>
      </c>
      <c r="O15" s="37" t="n">
        <f aca="false">SUMIFS('Raw Data'!$F$2:$F$114,'Raw Data'!$A$2:$A$114,$A15,'Raw Data'!$L$2:$L$114,"Workshop")</f>
        <v>0</v>
      </c>
      <c r="P15" s="37" t="n">
        <f aca="false">SUMIFS('Raw Data'!$F$2:$F$114,'Raw Data'!$A$2:$A$114,$A15,'Raw Data'!$L$2:$L$114,"Copters")</f>
        <v>0</v>
      </c>
      <c r="Q15" s="37" t="n">
        <f aca="false">SUMIFS('Raw Data'!$F$2:$F$114,'Raw Data'!$A$2:$A$114,$A15,'Raw Data'!$E$2:$E$114,"Egg tart")</f>
        <v>0</v>
      </c>
      <c r="R15" s="37" t="n">
        <f aca="false">SUMIFS('Raw Data'!$F$2:$F$114,'Raw Data'!$A$2:$A$114,$A15,'Raw Data'!$E$2:$E$114,"Hot dog bun")</f>
        <v>0</v>
      </c>
      <c r="S15" s="37" t="n">
        <f aca="false">SUMIFS('Raw Data'!$F$2:$F$114,'Raw Data'!$A$2:$A$114,$A15,'Raw Data'!$E$2:$E$114,"S'mores")</f>
        <v>0</v>
      </c>
      <c r="T15" s="37" t="n">
        <f aca="false">SUMIFS('Raw Data'!$F$2:$F$114,'Raw Data'!$A$2:$A$114,$A15,'Raw Data'!$E$2:$E$114,"Chocolate bar")</f>
        <v>0</v>
      </c>
      <c r="U15" s="37" t="n">
        <f aca="false">SUMIFS('Raw Data'!$F$2:$F$114,'Raw Data'!$A$2:$A$114,$A15,'Raw Data'!$E$2:$E$114,"Avocado")</f>
        <v>0</v>
      </c>
      <c r="V15" s="37" t="n">
        <f aca="false">SUMIFS('Raw Data'!$F$2:$F$114,'Raw Data'!$A$2:$A$114,$A15,'Raw Data'!$E$2:$E$114,"Dumpling")</f>
        <v>1</v>
      </c>
      <c r="W15" s="37" t="n">
        <f aca="false">SUMIFS('Raw Data'!$F$2:$F$114,'Raw Data'!$A$2:$A$114,$A15,'Raw Data'!$E$2:$E$114,"Creeper")</f>
        <v>1</v>
      </c>
      <c r="X15" s="37" t="n">
        <f aca="false">SUMIFS('Raw Data'!$F$2:$F$114,'Raw Data'!$A$2:$A$114,$A15,'Raw Data'!$E$2:$E$114,"Oreo")</f>
        <v>0</v>
      </c>
      <c r="Y15" s="37" t="n">
        <f aca="false">SUMIFS('Raw Data'!$F$2:$F$114,'Raw Data'!$A$2:$A$114,$A15,'Raw Data'!$E$2:$E$114,"Spam musubi")</f>
        <v>0</v>
      </c>
      <c r="Z15" s="37" t="n">
        <f aca="false">SUMIFS('Raw Data'!$F$2:$F$114,'Raw Data'!$A$2:$A$114,$A15,'Raw Data'!$E$2:$E$114,"Salmon nigiri")</f>
        <v>0</v>
      </c>
      <c r="AA15" s="37" t="n">
        <f aca="false">SUMIFS('Raw Data'!$F$2:$F$114,'Raw Data'!$A$2:$A$114,$A15,'Raw Data'!$E$2:$E$114,"LEGO brick")</f>
        <v>0</v>
      </c>
      <c r="AB15" s="37" t="n">
        <f aca="false">SUMIFS('Raw Data'!$F$2:$F$114,'Raw Data'!$A$2:$A$114,$A15,'Raw Data'!$E$2:$E$114,"WD-40")</f>
        <v>0</v>
      </c>
      <c r="AC15" s="37" t="n">
        <f aca="false">SUMIFS('Raw Data'!$F$2:$F$114,'Raw Data'!$A$2:$A$114,$A15,'Raw Data'!$E$2:$E$114,"Creeper infinity cube")</f>
        <v>1</v>
      </c>
      <c r="AD15" s="37" t="n">
        <f aca="false">SUMIFS('Raw Data'!$F$2:$F$114,'Raw Data'!$A$2:$A$114,$A15,'Raw Data'!$E$2:$E$114,"Burger")</f>
        <v>0</v>
      </c>
      <c r="AE15" s="37" t="n">
        <f aca="false">SUMIFS('Raw Data'!$F$2:$F$114,'Raw Data'!$A$2:$A$114,$A15,'Raw Data'!$E$2:$E$114,"Full kit")</f>
        <v>0</v>
      </c>
      <c r="AF15" s="37" t="n">
        <f aca="false">SUMIFS('Raw Data'!$F$2:$F$114,'Raw Data'!$A$2:$A$114,$A15,'Raw Data'!$E$2:$E$114,"Kit w/ toroidal")</f>
        <v>0</v>
      </c>
    </row>
    <row r="16" customFormat="false" ht="15" hidden="false" customHeight="false" outlineLevel="0" collapsed="false">
      <c r="A16" s="17" t="s">
        <v>313</v>
      </c>
      <c r="B16" s="38" t="n">
        <v>46312.4509606482</v>
      </c>
      <c r="C16" s="38" t="n">
        <v>46312.4510532407</v>
      </c>
      <c r="D16" s="16" t="n">
        <f aca="false">(C16-B16)*86400</f>
        <v>8</v>
      </c>
      <c r="E16" s="17" t="s">
        <v>251</v>
      </c>
      <c r="F16" s="17" t="s">
        <v>256</v>
      </c>
      <c r="G16" s="16" t="n">
        <f aca="false">SUMIFS('Raw Data'!$G$2:$G$114,'Raw Data'!$A$2:$A$114,A16)</f>
        <v>4</v>
      </c>
      <c r="H16" s="16" t="n">
        <f aca="false">SUMIFS('Raw Data'!$F$2:$F$114,'Raw Data'!$A$2:$A$114,A16)</f>
        <v>1</v>
      </c>
      <c r="I16" s="16" t="n">
        <f aca="false">SUMIFS('Raw Data'!$K$2:$K$114,'Raw Data'!$A$2:$A$114,A16)</f>
        <v>0</v>
      </c>
      <c r="J16" s="16" t="n">
        <f aca="false">COUNTIF(Q16:AF16,"&gt;0")</f>
        <v>1</v>
      </c>
      <c r="K16" s="16" t="n">
        <f aca="false">COUNTIF(L16:P16,"&gt;0")</f>
        <v>1</v>
      </c>
      <c r="L16" s="37" t="n">
        <f aca="false">SUMIFS('Raw Data'!$F$2:$F$114,'Raw Data'!$A$2:$A$114,$A16,'Raw Data'!$L$2:$L$114,"Asian food")</f>
        <v>0</v>
      </c>
      <c r="M16" s="37" t="n">
        <f aca="false">SUMIFS('Raw Data'!$F$2:$F$114,'Raw Data'!$A$2:$A$114,$A16,'Raw Data'!$L$2:$L$114,"Snacks &amp; treats")</f>
        <v>1</v>
      </c>
      <c r="N16" s="37" t="n">
        <f aca="false">SUMIFS('Raw Data'!$F$2:$F$114,'Raw Data'!$A$2:$A$114,$A16,'Raw Data'!$L$2:$L$114,"Minecraft")</f>
        <v>0</v>
      </c>
      <c r="O16" s="37" t="n">
        <f aca="false">SUMIFS('Raw Data'!$F$2:$F$114,'Raw Data'!$A$2:$A$114,$A16,'Raw Data'!$L$2:$L$114,"Workshop")</f>
        <v>0</v>
      </c>
      <c r="P16" s="37" t="n">
        <f aca="false">SUMIFS('Raw Data'!$F$2:$F$114,'Raw Data'!$A$2:$A$114,$A16,'Raw Data'!$L$2:$L$114,"Copters")</f>
        <v>0</v>
      </c>
      <c r="Q16" s="37" t="n">
        <f aca="false">SUMIFS('Raw Data'!$F$2:$F$114,'Raw Data'!$A$2:$A$114,$A16,'Raw Data'!$E$2:$E$114,"Egg tart")</f>
        <v>0</v>
      </c>
      <c r="R16" s="37" t="n">
        <f aca="false">SUMIFS('Raw Data'!$F$2:$F$114,'Raw Data'!$A$2:$A$114,$A16,'Raw Data'!$E$2:$E$114,"Hot dog bun")</f>
        <v>0</v>
      </c>
      <c r="S16" s="37" t="n">
        <f aca="false">SUMIFS('Raw Data'!$F$2:$F$114,'Raw Data'!$A$2:$A$114,$A16,'Raw Data'!$E$2:$E$114,"S'mores")</f>
        <v>0</v>
      </c>
      <c r="T16" s="37" t="n">
        <f aca="false">SUMIFS('Raw Data'!$F$2:$F$114,'Raw Data'!$A$2:$A$114,$A16,'Raw Data'!$E$2:$E$114,"Chocolate bar")</f>
        <v>1</v>
      </c>
      <c r="U16" s="37" t="n">
        <f aca="false">SUMIFS('Raw Data'!$F$2:$F$114,'Raw Data'!$A$2:$A$114,$A16,'Raw Data'!$E$2:$E$114,"Avocado")</f>
        <v>0</v>
      </c>
      <c r="V16" s="37" t="n">
        <f aca="false">SUMIFS('Raw Data'!$F$2:$F$114,'Raw Data'!$A$2:$A$114,$A16,'Raw Data'!$E$2:$E$114,"Dumpling")</f>
        <v>0</v>
      </c>
      <c r="W16" s="37" t="n">
        <f aca="false">SUMIFS('Raw Data'!$F$2:$F$114,'Raw Data'!$A$2:$A$114,$A16,'Raw Data'!$E$2:$E$114,"Creeper")</f>
        <v>0</v>
      </c>
      <c r="X16" s="37" t="n">
        <f aca="false">SUMIFS('Raw Data'!$F$2:$F$114,'Raw Data'!$A$2:$A$114,$A16,'Raw Data'!$E$2:$E$114,"Oreo")</f>
        <v>0</v>
      </c>
      <c r="Y16" s="37" t="n">
        <f aca="false">SUMIFS('Raw Data'!$F$2:$F$114,'Raw Data'!$A$2:$A$114,$A16,'Raw Data'!$E$2:$E$114,"Spam musubi")</f>
        <v>0</v>
      </c>
      <c r="Z16" s="37" t="n">
        <f aca="false">SUMIFS('Raw Data'!$F$2:$F$114,'Raw Data'!$A$2:$A$114,$A16,'Raw Data'!$E$2:$E$114,"Salmon nigiri")</f>
        <v>0</v>
      </c>
      <c r="AA16" s="37" t="n">
        <f aca="false">SUMIFS('Raw Data'!$F$2:$F$114,'Raw Data'!$A$2:$A$114,$A16,'Raw Data'!$E$2:$E$114,"LEGO brick")</f>
        <v>0</v>
      </c>
      <c r="AB16" s="37" t="n">
        <f aca="false">SUMIFS('Raw Data'!$F$2:$F$114,'Raw Data'!$A$2:$A$114,$A16,'Raw Data'!$E$2:$E$114,"WD-40")</f>
        <v>0</v>
      </c>
      <c r="AC16" s="37" t="n">
        <f aca="false">SUMIFS('Raw Data'!$F$2:$F$114,'Raw Data'!$A$2:$A$114,$A16,'Raw Data'!$E$2:$E$114,"Creeper infinity cube")</f>
        <v>0</v>
      </c>
      <c r="AD16" s="37" t="n">
        <f aca="false">SUMIFS('Raw Data'!$F$2:$F$114,'Raw Data'!$A$2:$A$114,$A16,'Raw Data'!$E$2:$E$114,"Burger")</f>
        <v>0</v>
      </c>
      <c r="AE16" s="37" t="n">
        <f aca="false">SUMIFS('Raw Data'!$F$2:$F$114,'Raw Data'!$A$2:$A$114,$A16,'Raw Data'!$E$2:$E$114,"Full kit")</f>
        <v>0</v>
      </c>
      <c r="AF16" s="37" t="n">
        <f aca="false">SUMIFS('Raw Data'!$F$2:$F$114,'Raw Data'!$A$2:$A$114,$A16,'Raw Data'!$E$2:$E$114,"Kit w/ toroidal")</f>
        <v>0</v>
      </c>
    </row>
    <row r="17" customFormat="false" ht="15" hidden="false" customHeight="false" outlineLevel="0" collapsed="false">
      <c r="A17" s="17" t="s">
        <v>314</v>
      </c>
      <c r="B17" s="38" t="n">
        <v>46312.4525347222</v>
      </c>
      <c r="C17" s="38" t="n">
        <v>46312.4528819445</v>
      </c>
      <c r="D17" s="16" t="n">
        <f aca="false">(C17-B17)*86400</f>
        <v>30</v>
      </c>
      <c r="E17" s="17" t="s">
        <v>251</v>
      </c>
      <c r="F17" s="17" t="s">
        <v>255</v>
      </c>
      <c r="G17" s="16" t="n">
        <f aca="false">SUMIFS('Raw Data'!$G$2:$G$114,'Raw Data'!$A$2:$A$114,A17)</f>
        <v>4</v>
      </c>
      <c r="H17" s="16" t="n">
        <f aca="false">SUMIFS('Raw Data'!$F$2:$F$114,'Raw Data'!$A$2:$A$114,A17)</f>
        <v>1</v>
      </c>
      <c r="I17" s="16" t="n">
        <f aca="false">SUMIFS('Raw Data'!$K$2:$K$114,'Raw Data'!$A$2:$A$114,A17)</f>
        <v>0</v>
      </c>
      <c r="J17" s="16" t="n">
        <f aca="false">COUNTIF(Q17:AF17,"&gt;0")</f>
        <v>1</v>
      </c>
      <c r="K17" s="16" t="n">
        <f aca="false">COUNTIF(L17:P17,"&gt;0")</f>
        <v>1</v>
      </c>
      <c r="L17" s="37" t="n">
        <f aca="false">SUMIFS('Raw Data'!$F$2:$F$114,'Raw Data'!$A$2:$A$114,$A17,'Raw Data'!$L$2:$L$114,"Asian food")</f>
        <v>1</v>
      </c>
      <c r="M17" s="37" t="n">
        <f aca="false">SUMIFS('Raw Data'!$F$2:$F$114,'Raw Data'!$A$2:$A$114,$A17,'Raw Data'!$L$2:$L$114,"Snacks &amp; treats")</f>
        <v>0</v>
      </c>
      <c r="N17" s="37" t="n">
        <f aca="false">SUMIFS('Raw Data'!$F$2:$F$114,'Raw Data'!$A$2:$A$114,$A17,'Raw Data'!$L$2:$L$114,"Minecraft")</f>
        <v>0</v>
      </c>
      <c r="O17" s="37" t="n">
        <f aca="false">SUMIFS('Raw Data'!$F$2:$F$114,'Raw Data'!$A$2:$A$114,$A17,'Raw Data'!$L$2:$L$114,"Workshop")</f>
        <v>0</v>
      </c>
      <c r="P17" s="37" t="n">
        <f aca="false">SUMIFS('Raw Data'!$F$2:$F$114,'Raw Data'!$A$2:$A$114,$A17,'Raw Data'!$L$2:$L$114,"Copters")</f>
        <v>0</v>
      </c>
      <c r="Q17" s="37" t="n">
        <f aca="false">SUMIFS('Raw Data'!$F$2:$F$114,'Raw Data'!$A$2:$A$114,$A17,'Raw Data'!$E$2:$E$114,"Egg tart")</f>
        <v>0</v>
      </c>
      <c r="R17" s="37" t="n">
        <f aca="false">SUMIFS('Raw Data'!$F$2:$F$114,'Raw Data'!$A$2:$A$114,$A17,'Raw Data'!$E$2:$E$114,"Hot dog bun")</f>
        <v>0</v>
      </c>
      <c r="S17" s="37" t="n">
        <f aca="false">SUMIFS('Raw Data'!$F$2:$F$114,'Raw Data'!$A$2:$A$114,$A17,'Raw Data'!$E$2:$E$114,"S'mores")</f>
        <v>0</v>
      </c>
      <c r="T17" s="37" t="n">
        <f aca="false">SUMIFS('Raw Data'!$F$2:$F$114,'Raw Data'!$A$2:$A$114,$A17,'Raw Data'!$E$2:$E$114,"Chocolate bar")</f>
        <v>0</v>
      </c>
      <c r="U17" s="37" t="n">
        <f aca="false">SUMIFS('Raw Data'!$F$2:$F$114,'Raw Data'!$A$2:$A$114,$A17,'Raw Data'!$E$2:$E$114,"Avocado")</f>
        <v>0</v>
      </c>
      <c r="V17" s="37" t="n">
        <f aca="false">SUMIFS('Raw Data'!$F$2:$F$114,'Raw Data'!$A$2:$A$114,$A17,'Raw Data'!$E$2:$E$114,"Dumpling")</f>
        <v>1</v>
      </c>
      <c r="W17" s="37" t="n">
        <f aca="false">SUMIFS('Raw Data'!$F$2:$F$114,'Raw Data'!$A$2:$A$114,$A17,'Raw Data'!$E$2:$E$114,"Creeper")</f>
        <v>0</v>
      </c>
      <c r="X17" s="37" t="n">
        <f aca="false">SUMIFS('Raw Data'!$F$2:$F$114,'Raw Data'!$A$2:$A$114,$A17,'Raw Data'!$E$2:$E$114,"Oreo")</f>
        <v>0</v>
      </c>
      <c r="Y17" s="37" t="n">
        <f aca="false">SUMIFS('Raw Data'!$F$2:$F$114,'Raw Data'!$A$2:$A$114,$A17,'Raw Data'!$E$2:$E$114,"Spam musubi")</f>
        <v>0</v>
      </c>
      <c r="Z17" s="37" t="n">
        <f aca="false">SUMIFS('Raw Data'!$F$2:$F$114,'Raw Data'!$A$2:$A$114,$A17,'Raw Data'!$E$2:$E$114,"Salmon nigiri")</f>
        <v>0</v>
      </c>
      <c r="AA17" s="37" t="n">
        <f aca="false">SUMIFS('Raw Data'!$F$2:$F$114,'Raw Data'!$A$2:$A$114,$A17,'Raw Data'!$E$2:$E$114,"LEGO brick")</f>
        <v>0</v>
      </c>
      <c r="AB17" s="37" t="n">
        <f aca="false">SUMIFS('Raw Data'!$F$2:$F$114,'Raw Data'!$A$2:$A$114,$A17,'Raw Data'!$E$2:$E$114,"WD-40")</f>
        <v>0</v>
      </c>
      <c r="AC17" s="37" t="n">
        <f aca="false">SUMIFS('Raw Data'!$F$2:$F$114,'Raw Data'!$A$2:$A$114,$A17,'Raw Data'!$E$2:$E$114,"Creeper infinity cube")</f>
        <v>0</v>
      </c>
      <c r="AD17" s="37" t="n">
        <f aca="false">SUMIFS('Raw Data'!$F$2:$F$114,'Raw Data'!$A$2:$A$114,$A17,'Raw Data'!$E$2:$E$114,"Burger")</f>
        <v>0</v>
      </c>
      <c r="AE17" s="37" t="n">
        <f aca="false">SUMIFS('Raw Data'!$F$2:$F$114,'Raw Data'!$A$2:$A$114,$A17,'Raw Data'!$E$2:$E$114,"Full kit")</f>
        <v>0</v>
      </c>
      <c r="AF17" s="37" t="n">
        <f aca="false">SUMIFS('Raw Data'!$F$2:$F$114,'Raw Data'!$A$2:$A$114,$A17,'Raw Data'!$E$2:$E$114,"Kit w/ toroidal")</f>
        <v>0</v>
      </c>
    </row>
    <row r="18" customFormat="false" ht="15" hidden="false" customHeight="false" outlineLevel="0" collapsed="false">
      <c r="A18" s="17" t="s">
        <v>315</v>
      </c>
      <c r="B18" s="38" t="n">
        <v>46312.452962963</v>
      </c>
      <c r="C18" s="38" t="n">
        <v>46312.4530092593</v>
      </c>
      <c r="D18" s="16" t="n">
        <f aca="false">(C18-B18)*86400</f>
        <v>4</v>
      </c>
      <c r="E18" s="17" t="s">
        <v>251</v>
      </c>
      <c r="F18" s="17" t="s">
        <v>256</v>
      </c>
      <c r="G18" s="16" t="n">
        <f aca="false">SUMIFS('Raw Data'!$G$2:$G$114,'Raw Data'!$A$2:$A$114,A18)</f>
        <v>4</v>
      </c>
      <c r="H18" s="16" t="n">
        <f aca="false">SUMIFS('Raw Data'!$F$2:$F$114,'Raw Data'!$A$2:$A$114,A18)</f>
        <v>1</v>
      </c>
      <c r="I18" s="16" t="n">
        <f aca="false">SUMIFS('Raw Data'!$K$2:$K$114,'Raw Data'!$A$2:$A$114,A18)</f>
        <v>0</v>
      </c>
      <c r="J18" s="16" t="n">
        <f aca="false">COUNTIF(Q18:AF18,"&gt;0")</f>
        <v>1</v>
      </c>
      <c r="K18" s="16" t="n">
        <f aca="false">COUNTIF(L18:P18,"&gt;0")</f>
        <v>1</v>
      </c>
      <c r="L18" s="37" t="n">
        <f aca="false">SUMIFS('Raw Data'!$F$2:$F$114,'Raw Data'!$A$2:$A$114,$A18,'Raw Data'!$L$2:$L$114,"Asian food")</f>
        <v>0</v>
      </c>
      <c r="M18" s="37" t="n">
        <f aca="false">SUMIFS('Raw Data'!$F$2:$F$114,'Raw Data'!$A$2:$A$114,$A18,'Raw Data'!$L$2:$L$114,"Snacks &amp; treats")</f>
        <v>0</v>
      </c>
      <c r="N18" s="37" t="n">
        <f aca="false">SUMIFS('Raw Data'!$F$2:$F$114,'Raw Data'!$A$2:$A$114,$A18,'Raw Data'!$L$2:$L$114,"Minecraft")</f>
        <v>1</v>
      </c>
      <c r="O18" s="37" t="n">
        <f aca="false">SUMIFS('Raw Data'!$F$2:$F$114,'Raw Data'!$A$2:$A$114,$A18,'Raw Data'!$L$2:$L$114,"Workshop")</f>
        <v>0</v>
      </c>
      <c r="P18" s="37" t="n">
        <f aca="false">SUMIFS('Raw Data'!$F$2:$F$114,'Raw Data'!$A$2:$A$114,$A18,'Raw Data'!$L$2:$L$114,"Copters")</f>
        <v>0</v>
      </c>
      <c r="Q18" s="37" t="n">
        <f aca="false">SUMIFS('Raw Data'!$F$2:$F$114,'Raw Data'!$A$2:$A$114,$A18,'Raw Data'!$E$2:$E$114,"Egg tart")</f>
        <v>0</v>
      </c>
      <c r="R18" s="37" t="n">
        <f aca="false">SUMIFS('Raw Data'!$F$2:$F$114,'Raw Data'!$A$2:$A$114,$A18,'Raw Data'!$E$2:$E$114,"Hot dog bun")</f>
        <v>0</v>
      </c>
      <c r="S18" s="37" t="n">
        <f aca="false">SUMIFS('Raw Data'!$F$2:$F$114,'Raw Data'!$A$2:$A$114,$A18,'Raw Data'!$E$2:$E$114,"S'mores")</f>
        <v>0</v>
      </c>
      <c r="T18" s="37" t="n">
        <f aca="false">SUMIFS('Raw Data'!$F$2:$F$114,'Raw Data'!$A$2:$A$114,$A18,'Raw Data'!$E$2:$E$114,"Chocolate bar")</f>
        <v>0</v>
      </c>
      <c r="U18" s="37" t="n">
        <f aca="false">SUMIFS('Raw Data'!$F$2:$F$114,'Raw Data'!$A$2:$A$114,$A18,'Raw Data'!$E$2:$E$114,"Avocado")</f>
        <v>0</v>
      </c>
      <c r="V18" s="37" t="n">
        <f aca="false">SUMIFS('Raw Data'!$F$2:$F$114,'Raw Data'!$A$2:$A$114,$A18,'Raw Data'!$E$2:$E$114,"Dumpling")</f>
        <v>0</v>
      </c>
      <c r="W18" s="37" t="n">
        <f aca="false">SUMIFS('Raw Data'!$F$2:$F$114,'Raw Data'!$A$2:$A$114,$A18,'Raw Data'!$E$2:$E$114,"Creeper")</f>
        <v>0</v>
      </c>
      <c r="X18" s="37" t="n">
        <f aca="false">SUMIFS('Raw Data'!$F$2:$F$114,'Raw Data'!$A$2:$A$114,$A18,'Raw Data'!$E$2:$E$114,"Oreo")</f>
        <v>0</v>
      </c>
      <c r="Y18" s="37" t="n">
        <f aca="false">SUMIFS('Raw Data'!$F$2:$F$114,'Raw Data'!$A$2:$A$114,$A18,'Raw Data'!$E$2:$E$114,"Spam musubi")</f>
        <v>0</v>
      </c>
      <c r="Z18" s="37" t="n">
        <f aca="false">SUMIFS('Raw Data'!$F$2:$F$114,'Raw Data'!$A$2:$A$114,$A18,'Raw Data'!$E$2:$E$114,"Salmon nigiri")</f>
        <v>0</v>
      </c>
      <c r="AA18" s="37" t="n">
        <f aca="false">SUMIFS('Raw Data'!$F$2:$F$114,'Raw Data'!$A$2:$A$114,$A18,'Raw Data'!$E$2:$E$114,"LEGO brick")</f>
        <v>0</v>
      </c>
      <c r="AB18" s="37" t="n">
        <f aca="false">SUMIFS('Raw Data'!$F$2:$F$114,'Raw Data'!$A$2:$A$114,$A18,'Raw Data'!$E$2:$E$114,"WD-40")</f>
        <v>0</v>
      </c>
      <c r="AC18" s="37" t="n">
        <f aca="false">SUMIFS('Raw Data'!$F$2:$F$114,'Raw Data'!$A$2:$A$114,$A18,'Raw Data'!$E$2:$E$114,"Creeper infinity cube")</f>
        <v>1</v>
      </c>
      <c r="AD18" s="37" t="n">
        <f aca="false">SUMIFS('Raw Data'!$F$2:$F$114,'Raw Data'!$A$2:$A$114,$A18,'Raw Data'!$E$2:$E$114,"Burger")</f>
        <v>0</v>
      </c>
      <c r="AE18" s="37" t="n">
        <f aca="false">SUMIFS('Raw Data'!$F$2:$F$114,'Raw Data'!$A$2:$A$114,$A18,'Raw Data'!$E$2:$E$114,"Full kit")</f>
        <v>0</v>
      </c>
      <c r="AF18" s="37" t="n">
        <f aca="false">SUMIFS('Raw Data'!$F$2:$F$114,'Raw Data'!$A$2:$A$114,$A18,'Raw Data'!$E$2:$E$114,"Kit w/ toroidal")</f>
        <v>0</v>
      </c>
    </row>
    <row r="19" customFormat="false" ht="15" hidden="false" customHeight="false" outlineLevel="0" collapsed="false">
      <c r="A19" s="17" t="s">
        <v>316</v>
      </c>
      <c r="B19" s="38" t="n">
        <v>46312.4563078704</v>
      </c>
      <c r="C19" s="38" t="n">
        <v>46312.4563657407</v>
      </c>
      <c r="D19" s="16" t="n">
        <f aca="false">(C19-B19)*86400</f>
        <v>5</v>
      </c>
      <c r="E19" s="17" t="s">
        <v>252</v>
      </c>
      <c r="F19" s="17" t="s">
        <v>256</v>
      </c>
      <c r="G19" s="16" t="n">
        <f aca="false">SUMIFS('Raw Data'!$G$2:$G$114,'Raw Data'!$A$2:$A$114,A19)</f>
        <v>10</v>
      </c>
      <c r="H19" s="16" t="n">
        <f aca="false">SUMIFS('Raw Data'!$F$2:$F$114,'Raw Data'!$A$2:$A$114,A19)</f>
        <v>3</v>
      </c>
      <c r="I19" s="16" t="n">
        <f aca="false">SUMIFS('Raw Data'!$K$2:$K$114,'Raw Data'!$A$2:$A$114,A19)</f>
        <v>1</v>
      </c>
      <c r="J19" s="16" t="n">
        <f aca="false">COUNTIF(Q19:AF19,"&gt;0")</f>
        <v>2</v>
      </c>
      <c r="K19" s="16" t="n">
        <f aca="false">COUNTIF(L19:P19,"&gt;0")</f>
        <v>2</v>
      </c>
      <c r="L19" s="37" t="n">
        <f aca="false">SUMIFS('Raw Data'!$F$2:$F$114,'Raw Data'!$A$2:$A$114,$A19,'Raw Data'!$L$2:$L$114,"Asian food")</f>
        <v>1</v>
      </c>
      <c r="M19" s="37" t="n">
        <f aca="false">SUMIFS('Raw Data'!$F$2:$F$114,'Raw Data'!$A$2:$A$114,$A19,'Raw Data'!$L$2:$L$114,"Snacks &amp; treats")</f>
        <v>2</v>
      </c>
      <c r="N19" s="37" t="n">
        <f aca="false">SUMIFS('Raw Data'!$F$2:$F$114,'Raw Data'!$A$2:$A$114,$A19,'Raw Data'!$L$2:$L$114,"Minecraft")</f>
        <v>0</v>
      </c>
      <c r="O19" s="37" t="n">
        <f aca="false">SUMIFS('Raw Data'!$F$2:$F$114,'Raw Data'!$A$2:$A$114,$A19,'Raw Data'!$L$2:$L$114,"Workshop")</f>
        <v>0</v>
      </c>
      <c r="P19" s="37" t="n">
        <f aca="false">SUMIFS('Raw Data'!$F$2:$F$114,'Raw Data'!$A$2:$A$114,$A19,'Raw Data'!$L$2:$L$114,"Copters")</f>
        <v>0</v>
      </c>
      <c r="Q19" s="37" t="n">
        <f aca="false">SUMIFS('Raw Data'!$F$2:$F$114,'Raw Data'!$A$2:$A$114,$A19,'Raw Data'!$E$2:$E$114,"Egg tart")</f>
        <v>0</v>
      </c>
      <c r="R19" s="37" t="n">
        <f aca="false">SUMIFS('Raw Data'!$F$2:$F$114,'Raw Data'!$A$2:$A$114,$A19,'Raw Data'!$E$2:$E$114,"Hot dog bun")</f>
        <v>0</v>
      </c>
      <c r="S19" s="37" t="n">
        <f aca="false">SUMIFS('Raw Data'!$F$2:$F$114,'Raw Data'!$A$2:$A$114,$A19,'Raw Data'!$E$2:$E$114,"S'mores")</f>
        <v>2</v>
      </c>
      <c r="T19" s="37" t="n">
        <f aca="false">SUMIFS('Raw Data'!$F$2:$F$114,'Raw Data'!$A$2:$A$114,$A19,'Raw Data'!$E$2:$E$114,"Chocolate bar")</f>
        <v>0</v>
      </c>
      <c r="U19" s="37" t="n">
        <f aca="false">SUMIFS('Raw Data'!$F$2:$F$114,'Raw Data'!$A$2:$A$114,$A19,'Raw Data'!$E$2:$E$114,"Avocado")</f>
        <v>0</v>
      </c>
      <c r="V19" s="37" t="n">
        <f aca="false">SUMIFS('Raw Data'!$F$2:$F$114,'Raw Data'!$A$2:$A$114,$A19,'Raw Data'!$E$2:$E$114,"Dumpling")</f>
        <v>0</v>
      </c>
      <c r="W19" s="37" t="n">
        <f aca="false">SUMIFS('Raw Data'!$F$2:$F$114,'Raw Data'!$A$2:$A$114,$A19,'Raw Data'!$E$2:$E$114,"Creeper")</f>
        <v>0</v>
      </c>
      <c r="X19" s="37" t="n">
        <f aca="false">SUMIFS('Raw Data'!$F$2:$F$114,'Raw Data'!$A$2:$A$114,$A19,'Raw Data'!$E$2:$E$114,"Oreo")</f>
        <v>0</v>
      </c>
      <c r="Y19" s="37" t="n">
        <f aca="false">SUMIFS('Raw Data'!$F$2:$F$114,'Raw Data'!$A$2:$A$114,$A19,'Raw Data'!$E$2:$E$114,"Spam musubi")</f>
        <v>0</v>
      </c>
      <c r="Z19" s="37" t="n">
        <f aca="false">SUMIFS('Raw Data'!$F$2:$F$114,'Raw Data'!$A$2:$A$114,$A19,'Raw Data'!$E$2:$E$114,"Salmon nigiri")</f>
        <v>1</v>
      </c>
      <c r="AA19" s="37" t="n">
        <f aca="false">SUMIFS('Raw Data'!$F$2:$F$114,'Raw Data'!$A$2:$A$114,$A19,'Raw Data'!$E$2:$E$114,"LEGO brick")</f>
        <v>0</v>
      </c>
      <c r="AB19" s="37" t="n">
        <f aca="false">SUMIFS('Raw Data'!$F$2:$F$114,'Raw Data'!$A$2:$A$114,$A19,'Raw Data'!$E$2:$E$114,"WD-40")</f>
        <v>0</v>
      </c>
      <c r="AC19" s="37" t="n">
        <f aca="false">SUMIFS('Raw Data'!$F$2:$F$114,'Raw Data'!$A$2:$A$114,$A19,'Raw Data'!$E$2:$E$114,"Creeper infinity cube")</f>
        <v>0</v>
      </c>
      <c r="AD19" s="37" t="n">
        <f aca="false">SUMIFS('Raw Data'!$F$2:$F$114,'Raw Data'!$A$2:$A$114,$A19,'Raw Data'!$E$2:$E$114,"Burger")</f>
        <v>0</v>
      </c>
      <c r="AE19" s="37" t="n">
        <f aca="false">SUMIFS('Raw Data'!$F$2:$F$114,'Raw Data'!$A$2:$A$114,$A19,'Raw Data'!$E$2:$E$114,"Full kit")</f>
        <v>0</v>
      </c>
      <c r="AF19" s="37" t="n">
        <f aca="false">SUMIFS('Raw Data'!$F$2:$F$114,'Raw Data'!$A$2:$A$114,$A19,'Raw Data'!$E$2:$E$114,"Kit w/ toroidal")</f>
        <v>0</v>
      </c>
    </row>
    <row r="20" customFormat="false" ht="15" hidden="false" customHeight="false" outlineLevel="0" collapsed="false">
      <c r="A20" s="17" t="s">
        <v>317</v>
      </c>
      <c r="B20" s="38" t="n">
        <v>46312.4584837963</v>
      </c>
      <c r="C20" s="38" t="n">
        <v>46312.4587037037</v>
      </c>
      <c r="D20" s="16" t="n">
        <f aca="false">(C20-B20)*86400</f>
        <v>19</v>
      </c>
      <c r="E20" s="17" t="s">
        <v>251</v>
      </c>
      <c r="F20" s="17" t="s">
        <v>255</v>
      </c>
      <c r="G20" s="16" t="n">
        <f aca="false">SUMIFS('Raw Data'!$G$2:$G$114,'Raw Data'!$A$2:$A$114,A20)</f>
        <v>4</v>
      </c>
      <c r="H20" s="16" t="n">
        <f aca="false">SUMIFS('Raw Data'!$F$2:$F$114,'Raw Data'!$A$2:$A$114,A20)</f>
        <v>1</v>
      </c>
      <c r="I20" s="16" t="n">
        <f aca="false">SUMIFS('Raw Data'!$K$2:$K$114,'Raw Data'!$A$2:$A$114,A20)</f>
        <v>0</v>
      </c>
      <c r="J20" s="16" t="n">
        <f aca="false">COUNTIF(Q20:AF20,"&gt;0")</f>
        <v>1</v>
      </c>
      <c r="K20" s="16" t="n">
        <f aca="false">COUNTIF(L20:P20,"&gt;0")</f>
        <v>1</v>
      </c>
      <c r="L20" s="37" t="n">
        <f aca="false">SUMIFS('Raw Data'!$F$2:$F$114,'Raw Data'!$A$2:$A$114,$A20,'Raw Data'!$L$2:$L$114,"Asian food")</f>
        <v>1</v>
      </c>
      <c r="M20" s="37" t="n">
        <f aca="false">SUMIFS('Raw Data'!$F$2:$F$114,'Raw Data'!$A$2:$A$114,$A20,'Raw Data'!$L$2:$L$114,"Snacks &amp; treats")</f>
        <v>0</v>
      </c>
      <c r="N20" s="37" t="n">
        <f aca="false">SUMIFS('Raw Data'!$F$2:$F$114,'Raw Data'!$A$2:$A$114,$A20,'Raw Data'!$L$2:$L$114,"Minecraft")</f>
        <v>0</v>
      </c>
      <c r="O20" s="37" t="n">
        <f aca="false">SUMIFS('Raw Data'!$F$2:$F$114,'Raw Data'!$A$2:$A$114,$A20,'Raw Data'!$L$2:$L$114,"Workshop")</f>
        <v>0</v>
      </c>
      <c r="P20" s="37" t="n">
        <f aca="false">SUMIFS('Raw Data'!$F$2:$F$114,'Raw Data'!$A$2:$A$114,$A20,'Raw Data'!$L$2:$L$114,"Copters")</f>
        <v>0</v>
      </c>
      <c r="Q20" s="37" t="n">
        <f aca="false">SUMIFS('Raw Data'!$F$2:$F$114,'Raw Data'!$A$2:$A$114,$A20,'Raw Data'!$E$2:$E$114,"Egg tart")</f>
        <v>0</v>
      </c>
      <c r="R20" s="37" t="n">
        <f aca="false">SUMIFS('Raw Data'!$F$2:$F$114,'Raw Data'!$A$2:$A$114,$A20,'Raw Data'!$E$2:$E$114,"Hot dog bun")</f>
        <v>0</v>
      </c>
      <c r="S20" s="37" t="n">
        <f aca="false">SUMIFS('Raw Data'!$F$2:$F$114,'Raw Data'!$A$2:$A$114,$A20,'Raw Data'!$E$2:$E$114,"S'mores")</f>
        <v>0</v>
      </c>
      <c r="T20" s="37" t="n">
        <f aca="false">SUMIFS('Raw Data'!$F$2:$F$114,'Raw Data'!$A$2:$A$114,$A20,'Raw Data'!$E$2:$E$114,"Chocolate bar")</f>
        <v>0</v>
      </c>
      <c r="U20" s="37" t="n">
        <f aca="false">SUMIFS('Raw Data'!$F$2:$F$114,'Raw Data'!$A$2:$A$114,$A20,'Raw Data'!$E$2:$E$114,"Avocado")</f>
        <v>0</v>
      </c>
      <c r="V20" s="37" t="n">
        <f aca="false">SUMIFS('Raw Data'!$F$2:$F$114,'Raw Data'!$A$2:$A$114,$A20,'Raw Data'!$E$2:$E$114,"Dumpling")</f>
        <v>0</v>
      </c>
      <c r="W20" s="37" t="n">
        <f aca="false">SUMIFS('Raw Data'!$F$2:$F$114,'Raw Data'!$A$2:$A$114,$A20,'Raw Data'!$E$2:$E$114,"Creeper")</f>
        <v>0</v>
      </c>
      <c r="X20" s="37" t="n">
        <f aca="false">SUMIFS('Raw Data'!$F$2:$F$114,'Raw Data'!$A$2:$A$114,$A20,'Raw Data'!$E$2:$E$114,"Oreo")</f>
        <v>0</v>
      </c>
      <c r="Y20" s="37" t="n">
        <f aca="false">SUMIFS('Raw Data'!$F$2:$F$114,'Raw Data'!$A$2:$A$114,$A20,'Raw Data'!$E$2:$E$114,"Spam musubi")</f>
        <v>0</v>
      </c>
      <c r="Z20" s="37" t="n">
        <f aca="false">SUMIFS('Raw Data'!$F$2:$F$114,'Raw Data'!$A$2:$A$114,$A20,'Raw Data'!$E$2:$E$114,"Salmon nigiri")</f>
        <v>1</v>
      </c>
      <c r="AA20" s="37" t="n">
        <f aca="false">SUMIFS('Raw Data'!$F$2:$F$114,'Raw Data'!$A$2:$A$114,$A20,'Raw Data'!$E$2:$E$114,"LEGO brick")</f>
        <v>0</v>
      </c>
      <c r="AB20" s="37" t="n">
        <f aca="false">SUMIFS('Raw Data'!$F$2:$F$114,'Raw Data'!$A$2:$A$114,$A20,'Raw Data'!$E$2:$E$114,"WD-40")</f>
        <v>0</v>
      </c>
      <c r="AC20" s="37" t="n">
        <f aca="false">SUMIFS('Raw Data'!$F$2:$F$114,'Raw Data'!$A$2:$A$114,$A20,'Raw Data'!$E$2:$E$114,"Creeper infinity cube")</f>
        <v>0</v>
      </c>
      <c r="AD20" s="37" t="n">
        <f aca="false">SUMIFS('Raw Data'!$F$2:$F$114,'Raw Data'!$A$2:$A$114,$A20,'Raw Data'!$E$2:$E$114,"Burger")</f>
        <v>0</v>
      </c>
      <c r="AE20" s="37" t="n">
        <f aca="false">SUMIFS('Raw Data'!$F$2:$F$114,'Raw Data'!$A$2:$A$114,$A20,'Raw Data'!$E$2:$E$114,"Full kit")</f>
        <v>0</v>
      </c>
      <c r="AF20" s="37" t="n">
        <f aca="false">SUMIFS('Raw Data'!$F$2:$F$114,'Raw Data'!$A$2:$A$114,$A20,'Raw Data'!$E$2:$E$114,"Kit w/ toroidal")</f>
        <v>0</v>
      </c>
    </row>
    <row r="21" customFormat="false" ht="15" hidden="false" customHeight="false" outlineLevel="0" collapsed="false">
      <c r="A21" s="17" t="s">
        <v>318</v>
      </c>
      <c r="B21" s="38" t="n">
        <v>46312.4600462963</v>
      </c>
      <c r="C21" s="38" t="n">
        <v>46312.4601041667</v>
      </c>
      <c r="D21" s="16" t="n">
        <f aca="false">(C21-B21)*86400</f>
        <v>5</v>
      </c>
      <c r="E21" s="17"/>
      <c r="F21" s="17"/>
      <c r="G21" s="16" t="n">
        <f aca="false">SUMIFS('Raw Data'!$G$2:$G$114,'Raw Data'!$A$2:$A$114,A21)</f>
        <v>5</v>
      </c>
      <c r="H21" s="16" t="n">
        <f aca="false">SUMIFS('Raw Data'!$F$2:$F$114,'Raw Data'!$A$2:$A$114,A21)</f>
        <v>1</v>
      </c>
      <c r="I21" s="16" t="n">
        <f aca="false">SUMIFS('Raw Data'!$K$2:$K$114,'Raw Data'!$A$2:$A$114,A21)</f>
        <v>0</v>
      </c>
      <c r="J21" s="16" t="n">
        <f aca="false">COUNTIF(Q21:AF21,"&gt;0")</f>
        <v>1</v>
      </c>
      <c r="K21" s="16" t="n">
        <f aca="false">COUNTIF(L21:P21,"&gt;0")</f>
        <v>1</v>
      </c>
      <c r="L21" s="37" t="n">
        <f aca="false">SUMIFS('Raw Data'!$F$2:$F$114,'Raw Data'!$A$2:$A$114,$A21,'Raw Data'!$L$2:$L$114,"Asian food")</f>
        <v>0</v>
      </c>
      <c r="M21" s="37" t="n">
        <f aca="false">SUMIFS('Raw Data'!$F$2:$F$114,'Raw Data'!$A$2:$A$114,$A21,'Raw Data'!$L$2:$L$114,"Snacks &amp; treats")</f>
        <v>0</v>
      </c>
      <c r="N21" s="37" t="n">
        <f aca="false">SUMIFS('Raw Data'!$F$2:$F$114,'Raw Data'!$A$2:$A$114,$A21,'Raw Data'!$L$2:$L$114,"Minecraft")</f>
        <v>0</v>
      </c>
      <c r="O21" s="37" t="n">
        <f aca="false">SUMIFS('Raw Data'!$F$2:$F$114,'Raw Data'!$A$2:$A$114,$A21,'Raw Data'!$L$2:$L$114,"Workshop")</f>
        <v>0</v>
      </c>
      <c r="P21" s="37" t="n">
        <f aca="false">SUMIFS('Raw Data'!$F$2:$F$114,'Raw Data'!$A$2:$A$114,$A21,'Raw Data'!$L$2:$L$114,"Copters")</f>
        <v>1</v>
      </c>
      <c r="Q21" s="37" t="n">
        <f aca="false">SUMIFS('Raw Data'!$F$2:$F$114,'Raw Data'!$A$2:$A$114,$A21,'Raw Data'!$E$2:$E$114,"Egg tart")</f>
        <v>0</v>
      </c>
      <c r="R21" s="37" t="n">
        <f aca="false">SUMIFS('Raw Data'!$F$2:$F$114,'Raw Data'!$A$2:$A$114,$A21,'Raw Data'!$E$2:$E$114,"Hot dog bun")</f>
        <v>0</v>
      </c>
      <c r="S21" s="37" t="n">
        <f aca="false">SUMIFS('Raw Data'!$F$2:$F$114,'Raw Data'!$A$2:$A$114,$A21,'Raw Data'!$E$2:$E$114,"S'mores")</f>
        <v>0</v>
      </c>
      <c r="T21" s="37" t="n">
        <f aca="false">SUMIFS('Raw Data'!$F$2:$F$114,'Raw Data'!$A$2:$A$114,$A21,'Raw Data'!$E$2:$E$114,"Chocolate bar")</f>
        <v>0</v>
      </c>
      <c r="U21" s="37" t="n">
        <f aca="false">SUMIFS('Raw Data'!$F$2:$F$114,'Raw Data'!$A$2:$A$114,$A21,'Raw Data'!$E$2:$E$114,"Avocado")</f>
        <v>0</v>
      </c>
      <c r="V21" s="37" t="n">
        <f aca="false">SUMIFS('Raw Data'!$F$2:$F$114,'Raw Data'!$A$2:$A$114,$A21,'Raw Data'!$E$2:$E$114,"Dumpling")</f>
        <v>0</v>
      </c>
      <c r="W21" s="37" t="n">
        <f aca="false">SUMIFS('Raw Data'!$F$2:$F$114,'Raw Data'!$A$2:$A$114,$A21,'Raw Data'!$E$2:$E$114,"Creeper")</f>
        <v>0</v>
      </c>
      <c r="X21" s="37" t="n">
        <f aca="false">SUMIFS('Raw Data'!$F$2:$F$114,'Raw Data'!$A$2:$A$114,$A21,'Raw Data'!$E$2:$E$114,"Oreo")</f>
        <v>0</v>
      </c>
      <c r="Y21" s="37" t="n">
        <f aca="false">SUMIFS('Raw Data'!$F$2:$F$114,'Raw Data'!$A$2:$A$114,$A21,'Raw Data'!$E$2:$E$114,"Spam musubi")</f>
        <v>0</v>
      </c>
      <c r="Z21" s="37" t="n">
        <f aca="false">SUMIFS('Raw Data'!$F$2:$F$114,'Raw Data'!$A$2:$A$114,$A21,'Raw Data'!$E$2:$E$114,"Salmon nigiri")</f>
        <v>0</v>
      </c>
      <c r="AA21" s="37" t="n">
        <f aca="false">SUMIFS('Raw Data'!$F$2:$F$114,'Raw Data'!$A$2:$A$114,$A21,'Raw Data'!$E$2:$E$114,"LEGO brick")</f>
        <v>0</v>
      </c>
      <c r="AB21" s="37" t="n">
        <f aca="false">SUMIFS('Raw Data'!$F$2:$F$114,'Raw Data'!$A$2:$A$114,$A21,'Raw Data'!$E$2:$E$114,"WD-40")</f>
        <v>0</v>
      </c>
      <c r="AC21" s="37" t="n">
        <f aca="false">SUMIFS('Raw Data'!$F$2:$F$114,'Raw Data'!$A$2:$A$114,$A21,'Raw Data'!$E$2:$E$114,"Creeper infinity cube")</f>
        <v>0</v>
      </c>
      <c r="AD21" s="37" t="n">
        <f aca="false">SUMIFS('Raw Data'!$F$2:$F$114,'Raw Data'!$A$2:$A$114,$A21,'Raw Data'!$E$2:$E$114,"Burger")</f>
        <v>0</v>
      </c>
      <c r="AE21" s="37" t="n">
        <f aca="false">SUMIFS('Raw Data'!$F$2:$F$114,'Raw Data'!$A$2:$A$114,$A21,'Raw Data'!$E$2:$E$114,"Full kit")</f>
        <v>1</v>
      </c>
      <c r="AF21" s="37" t="n">
        <f aca="false">SUMIFS('Raw Data'!$F$2:$F$114,'Raw Data'!$A$2:$A$114,$A21,'Raw Data'!$E$2:$E$114,"Kit w/ toroidal")</f>
        <v>0</v>
      </c>
    </row>
    <row r="22" customFormat="false" ht="15" hidden="false" customHeight="false" outlineLevel="0" collapsed="false">
      <c r="A22" s="17" t="s">
        <v>319</v>
      </c>
      <c r="B22" s="38" t="n">
        <v>46312.4626041667</v>
      </c>
      <c r="C22" s="38" t="n">
        <v>46312.4626273148</v>
      </c>
      <c r="D22" s="16" t="n">
        <f aca="false">(C22-B22)*86400</f>
        <v>2</v>
      </c>
      <c r="E22" s="17" t="s">
        <v>251</v>
      </c>
      <c r="F22" s="17" t="s">
        <v>255</v>
      </c>
      <c r="G22" s="16" t="n">
        <f aca="false">SUMIFS('Raw Data'!$G$2:$G$114,'Raw Data'!$A$2:$A$114,A22)</f>
        <v>4</v>
      </c>
      <c r="H22" s="16" t="n">
        <f aca="false">SUMIFS('Raw Data'!$F$2:$F$114,'Raw Data'!$A$2:$A$114,A22)</f>
        <v>1</v>
      </c>
      <c r="I22" s="16" t="n">
        <f aca="false">SUMIFS('Raw Data'!$K$2:$K$114,'Raw Data'!$A$2:$A$114,A22)</f>
        <v>0</v>
      </c>
      <c r="J22" s="16" t="n">
        <f aca="false">COUNTIF(Q22:AF22,"&gt;0")</f>
        <v>1</v>
      </c>
      <c r="K22" s="16" t="n">
        <f aca="false">COUNTIF(L22:P22,"&gt;0")</f>
        <v>1</v>
      </c>
      <c r="L22" s="37" t="n">
        <f aca="false">SUMIFS('Raw Data'!$F$2:$F$114,'Raw Data'!$A$2:$A$114,$A22,'Raw Data'!$L$2:$L$114,"Asian food")</f>
        <v>0</v>
      </c>
      <c r="M22" s="37" t="n">
        <f aca="false">SUMIFS('Raw Data'!$F$2:$F$114,'Raw Data'!$A$2:$A$114,$A22,'Raw Data'!$L$2:$L$114,"Snacks &amp; treats")</f>
        <v>1</v>
      </c>
      <c r="N22" s="37" t="n">
        <f aca="false">SUMIFS('Raw Data'!$F$2:$F$114,'Raw Data'!$A$2:$A$114,$A22,'Raw Data'!$L$2:$L$114,"Minecraft")</f>
        <v>0</v>
      </c>
      <c r="O22" s="37" t="n">
        <f aca="false">SUMIFS('Raw Data'!$F$2:$F$114,'Raw Data'!$A$2:$A$114,$A22,'Raw Data'!$L$2:$L$114,"Workshop")</f>
        <v>0</v>
      </c>
      <c r="P22" s="37" t="n">
        <f aca="false">SUMIFS('Raw Data'!$F$2:$F$114,'Raw Data'!$A$2:$A$114,$A22,'Raw Data'!$L$2:$L$114,"Copters")</f>
        <v>0</v>
      </c>
      <c r="Q22" s="37" t="n">
        <f aca="false">SUMIFS('Raw Data'!$F$2:$F$114,'Raw Data'!$A$2:$A$114,$A22,'Raw Data'!$E$2:$E$114,"Egg tart")</f>
        <v>0</v>
      </c>
      <c r="R22" s="37" t="n">
        <f aca="false">SUMIFS('Raw Data'!$F$2:$F$114,'Raw Data'!$A$2:$A$114,$A22,'Raw Data'!$E$2:$E$114,"Hot dog bun")</f>
        <v>0</v>
      </c>
      <c r="S22" s="37" t="n">
        <f aca="false">SUMIFS('Raw Data'!$F$2:$F$114,'Raw Data'!$A$2:$A$114,$A22,'Raw Data'!$E$2:$E$114,"S'mores")</f>
        <v>0</v>
      </c>
      <c r="T22" s="37" t="n">
        <f aca="false">SUMIFS('Raw Data'!$F$2:$F$114,'Raw Data'!$A$2:$A$114,$A22,'Raw Data'!$E$2:$E$114,"Chocolate bar")</f>
        <v>1</v>
      </c>
      <c r="U22" s="37" t="n">
        <f aca="false">SUMIFS('Raw Data'!$F$2:$F$114,'Raw Data'!$A$2:$A$114,$A22,'Raw Data'!$E$2:$E$114,"Avocado")</f>
        <v>0</v>
      </c>
      <c r="V22" s="37" t="n">
        <f aca="false">SUMIFS('Raw Data'!$F$2:$F$114,'Raw Data'!$A$2:$A$114,$A22,'Raw Data'!$E$2:$E$114,"Dumpling")</f>
        <v>0</v>
      </c>
      <c r="W22" s="37" t="n">
        <f aca="false">SUMIFS('Raw Data'!$F$2:$F$114,'Raw Data'!$A$2:$A$114,$A22,'Raw Data'!$E$2:$E$114,"Creeper")</f>
        <v>0</v>
      </c>
      <c r="X22" s="37" t="n">
        <f aca="false">SUMIFS('Raw Data'!$F$2:$F$114,'Raw Data'!$A$2:$A$114,$A22,'Raw Data'!$E$2:$E$114,"Oreo")</f>
        <v>0</v>
      </c>
      <c r="Y22" s="37" t="n">
        <f aca="false">SUMIFS('Raw Data'!$F$2:$F$114,'Raw Data'!$A$2:$A$114,$A22,'Raw Data'!$E$2:$E$114,"Spam musubi")</f>
        <v>0</v>
      </c>
      <c r="Z22" s="37" t="n">
        <f aca="false">SUMIFS('Raw Data'!$F$2:$F$114,'Raw Data'!$A$2:$A$114,$A22,'Raw Data'!$E$2:$E$114,"Salmon nigiri")</f>
        <v>0</v>
      </c>
      <c r="AA22" s="37" t="n">
        <f aca="false">SUMIFS('Raw Data'!$F$2:$F$114,'Raw Data'!$A$2:$A$114,$A22,'Raw Data'!$E$2:$E$114,"LEGO brick")</f>
        <v>0</v>
      </c>
      <c r="AB22" s="37" t="n">
        <f aca="false">SUMIFS('Raw Data'!$F$2:$F$114,'Raw Data'!$A$2:$A$114,$A22,'Raw Data'!$E$2:$E$114,"WD-40")</f>
        <v>0</v>
      </c>
      <c r="AC22" s="37" t="n">
        <f aca="false">SUMIFS('Raw Data'!$F$2:$F$114,'Raw Data'!$A$2:$A$114,$A22,'Raw Data'!$E$2:$E$114,"Creeper infinity cube")</f>
        <v>0</v>
      </c>
      <c r="AD22" s="37" t="n">
        <f aca="false">SUMIFS('Raw Data'!$F$2:$F$114,'Raw Data'!$A$2:$A$114,$A22,'Raw Data'!$E$2:$E$114,"Burger")</f>
        <v>0</v>
      </c>
      <c r="AE22" s="37" t="n">
        <f aca="false">SUMIFS('Raw Data'!$F$2:$F$114,'Raw Data'!$A$2:$A$114,$A22,'Raw Data'!$E$2:$E$114,"Full kit")</f>
        <v>0</v>
      </c>
      <c r="AF22" s="37" t="n">
        <f aca="false">SUMIFS('Raw Data'!$F$2:$F$114,'Raw Data'!$A$2:$A$114,$A22,'Raw Data'!$E$2:$E$114,"Kit w/ toroidal")</f>
        <v>0</v>
      </c>
    </row>
    <row r="23" customFormat="false" ht="15" hidden="false" customHeight="false" outlineLevel="0" collapsed="false">
      <c r="A23" s="17" t="s">
        <v>320</v>
      </c>
      <c r="B23" s="38" t="n">
        <v>46312.4631481482</v>
      </c>
      <c r="C23" s="38" t="n">
        <v>46312.4638194444</v>
      </c>
      <c r="D23" s="16" t="n">
        <f aca="false">(C23-B23)*86400</f>
        <v>58</v>
      </c>
      <c r="E23" s="17"/>
      <c r="F23" s="17"/>
      <c r="G23" s="16" t="n">
        <f aca="false">SUMIFS('Raw Data'!$G$2:$G$114,'Raw Data'!$A$2:$A$114,A23)</f>
        <v>4</v>
      </c>
      <c r="H23" s="16" t="n">
        <f aca="false">SUMIFS('Raw Data'!$F$2:$F$114,'Raw Data'!$A$2:$A$114,A23)</f>
        <v>1</v>
      </c>
      <c r="I23" s="16" t="n">
        <f aca="false">SUMIFS('Raw Data'!$K$2:$K$114,'Raw Data'!$A$2:$A$114,A23)</f>
        <v>0</v>
      </c>
      <c r="J23" s="16" t="n">
        <f aca="false">COUNTIF(Q23:AF23,"&gt;0")</f>
        <v>1</v>
      </c>
      <c r="K23" s="16" t="n">
        <f aca="false">COUNTIF(L23:P23,"&gt;0")</f>
        <v>1</v>
      </c>
      <c r="L23" s="37" t="n">
        <f aca="false">SUMIFS('Raw Data'!$F$2:$F$114,'Raw Data'!$A$2:$A$114,$A23,'Raw Data'!$L$2:$L$114,"Asian food")</f>
        <v>1</v>
      </c>
      <c r="M23" s="37" t="n">
        <f aca="false">SUMIFS('Raw Data'!$F$2:$F$114,'Raw Data'!$A$2:$A$114,$A23,'Raw Data'!$L$2:$L$114,"Snacks &amp; treats")</f>
        <v>0</v>
      </c>
      <c r="N23" s="37" t="n">
        <f aca="false">SUMIFS('Raw Data'!$F$2:$F$114,'Raw Data'!$A$2:$A$114,$A23,'Raw Data'!$L$2:$L$114,"Minecraft")</f>
        <v>0</v>
      </c>
      <c r="O23" s="37" t="n">
        <f aca="false">SUMIFS('Raw Data'!$F$2:$F$114,'Raw Data'!$A$2:$A$114,$A23,'Raw Data'!$L$2:$L$114,"Workshop")</f>
        <v>0</v>
      </c>
      <c r="P23" s="37" t="n">
        <f aca="false">SUMIFS('Raw Data'!$F$2:$F$114,'Raw Data'!$A$2:$A$114,$A23,'Raw Data'!$L$2:$L$114,"Copters")</f>
        <v>0</v>
      </c>
      <c r="Q23" s="37" t="n">
        <f aca="false">SUMIFS('Raw Data'!$F$2:$F$114,'Raw Data'!$A$2:$A$114,$A23,'Raw Data'!$E$2:$E$114,"Egg tart")</f>
        <v>1</v>
      </c>
      <c r="R23" s="37" t="n">
        <f aca="false">SUMIFS('Raw Data'!$F$2:$F$114,'Raw Data'!$A$2:$A$114,$A23,'Raw Data'!$E$2:$E$114,"Hot dog bun")</f>
        <v>0</v>
      </c>
      <c r="S23" s="37" t="n">
        <f aca="false">SUMIFS('Raw Data'!$F$2:$F$114,'Raw Data'!$A$2:$A$114,$A23,'Raw Data'!$E$2:$E$114,"S'mores")</f>
        <v>0</v>
      </c>
      <c r="T23" s="37" t="n">
        <f aca="false">SUMIFS('Raw Data'!$F$2:$F$114,'Raw Data'!$A$2:$A$114,$A23,'Raw Data'!$E$2:$E$114,"Chocolate bar")</f>
        <v>0</v>
      </c>
      <c r="U23" s="37" t="n">
        <f aca="false">SUMIFS('Raw Data'!$F$2:$F$114,'Raw Data'!$A$2:$A$114,$A23,'Raw Data'!$E$2:$E$114,"Avocado")</f>
        <v>0</v>
      </c>
      <c r="V23" s="37" t="n">
        <f aca="false">SUMIFS('Raw Data'!$F$2:$F$114,'Raw Data'!$A$2:$A$114,$A23,'Raw Data'!$E$2:$E$114,"Dumpling")</f>
        <v>0</v>
      </c>
      <c r="W23" s="37" t="n">
        <f aca="false">SUMIFS('Raw Data'!$F$2:$F$114,'Raw Data'!$A$2:$A$114,$A23,'Raw Data'!$E$2:$E$114,"Creeper")</f>
        <v>0</v>
      </c>
      <c r="X23" s="37" t="n">
        <f aca="false">SUMIFS('Raw Data'!$F$2:$F$114,'Raw Data'!$A$2:$A$114,$A23,'Raw Data'!$E$2:$E$114,"Oreo")</f>
        <v>0</v>
      </c>
      <c r="Y23" s="37" t="n">
        <f aca="false">SUMIFS('Raw Data'!$F$2:$F$114,'Raw Data'!$A$2:$A$114,$A23,'Raw Data'!$E$2:$E$114,"Spam musubi")</f>
        <v>0</v>
      </c>
      <c r="Z23" s="37" t="n">
        <f aca="false">SUMIFS('Raw Data'!$F$2:$F$114,'Raw Data'!$A$2:$A$114,$A23,'Raw Data'!$E$2:$E$114,"Salmon nigiri")</f>
        <v>0</v>
      </c>
      <c r="AA23" s="37" t="n">
        <f aca="false">SUMIFS('Raw Data'!$F$2:$F$114,'Raw Data'!$A$2:$A$114,$A23,'Raw Data'!$E$2:$E$114,"LEGO brick")</f>
        <v>0</v>
      </c>
      <c r="AB23" s="37" t="n">
        <f aca="false">SUMIFS('Raw Data'!$F$2:$F$114,'Raw Data'!$A$2:$A$114,$A23,'Raw Data'!$E$2:$E$114,"WD-40")</f>
        <v>0</v>
      </c>
      <c r="AC23" s="37" t="n">
        <f aca="false">SUMIFS('Raw Data'!$F$2:$F$114,'Raw Data'!$A$2:$A$114,$A23,'Raw Data'!$E$2:$E$114,"Creeper infinity cube")</f>
        <v>0</v>
      </c>
      <c r="AD23" s="37" t="n">
        <f aca="false">SUMIFS('Raw Data'!$F$2:$F$114,'Raw Data'!$A$2:$A$114,$A23,'Raw Data'!$E$2:$E$114,"Burger")</f>
        <v>0</v>
      </c>
      <c r="AE23" s="37" t="n">
        <f aca="false">SUMIFS('Raw Data'!$F$2:$F$114,'Raw Data'!$A$2:$A$114,$A23,'Raw Data'!$E$2:$E$114,"Full kit")</f>
        <v>0</v>
      </c>
      <c r="AF23" s="37" t="n">
        <f aca="false">SUMIFS('Raw Data'!$F$2:$F$114,'Raw Data'!$A$2:$A$114,$A23,'Raw Data'!$E$2:$E$114,"Kit w/ toroidal")</f>
        <v>0</v>
      </c>
    </row>
    <row r="24" customFormat="false" ht="15" hidden="false" customHeight="false" outlineLevel="0" collapsed="false">
      <c r="A24" s="17" t="s">
        <v>321</v>
      </c>
      <c r="B24" s="38" t="n">
        <v>46312.4641435185</v>
      </c>
      <c r="C24" s="38" t="n">
        <v>46312.4642476852</v>
      </c>
      <c r="D24" s="16" t="n">
        <f aca="false">(C24-B24)*86400</f>
        <v>9</v>
      </c>
      <c r="E24" s="17" t="s">
        <v>251</v>
      </c>
      <c r="F24" s="17" t="s">
        <v>255</v>
      </c>
      <c r="G24" s="16" t="n">
        <f aca="false">SUMIFS('Raw Data'!$G$2:$G$114,'Raw Data'!$A$2:$A$114,A24)</f>
        <v>10</v>
      </c>
      <c r="H24" s="16" t="n">
        <f aca="false">SUMIFS('Raw Data'!$F$2:$F$114,'Raw Data'!$A$2:$A$114,A24)</f>
        <v>3</v>
      </c>
      <c r="I24" s="16" t="n">
        <f aca="false">SUMIFS('Raw Data'!$K$2:$K$114,'Raw Data'!$A$2:$A$114,A24)</f>
        <v>1</v>
      </c>
      <c r="J24" s="16" t="n">
        <f aca="false">COUNTIF(Q24:AF24,"&gt;0")</f>
        <v>3</v>
      </c>
      <c r="K24" s="16" t="n">
        <f aca="false">COUNTIF(L24:P24,"&gt;0")</f>
        <v>3</v>
      </c>
      <c r="L24" s="37" t="n">
        <f aca="false">SUMIFS('Raw Data'!$F$2:$F$114,'Raw Data'!$A$2:$A$114,$A24,'Raw Data'!$L$2:$L$114,"Asian food")</f>
        <v>0</v>
      </c>
      <c r="M24" s="37" t="n">
        <f aca="false">SUMIFS('Raw Data'!$F$2:$F$114,'Raw Data'!$A$2:$A$114,$A24,'Raw Data'!$L$2:$L$114,"Snacks &amp; treats")</f>
        <v>1</v>
      </c>
      <c r="N24" s="37" t="n">
        <f aca="false">SUMIFS('Raw Data'!$F$2:$F$114,'Raw Data'!$A$2:$A$114,$A24,'Raw Data'!$L$2:$L$114,"Minecraft")</f>
        <v>1</v>
      </c>
      <c r="O24" s="37" t="n">
        <f aca="false">SUMIFS('Raw Data'!$F$2:$F$114,'Raw Data'!$A$2:$A$114,$A24,'Raw Data'!$L$2:$L$114,"Workshop")</f>
        <v>1</v>
      </c>
      <c r="P24" s="37" t="n">
        <f aca="false">SUMIFS('Raw Data'!$F$2:$F$114,'Raw Data'!$A$2:$A$114,$A24,'Raw Data'!$L$2:$L$114,"Copters")</f>
        <v>0</v>
      </c>
      <c r="Q24" s="37" t="n">
        <f aca="false">SUMIFS('Raw Data'!$F$2:$F$114,'Raw Data'!$A$2:$A$114,$A24,'Raw Data'!$E$2:$E$114,"Egg tart")</f>
        <v>0</v>
      </c>
      <c r="R24" s="37" t="n">
        <f aca="false">SUMIFS('Raw Data'!$F$2:$F$114,'Raw Data'!$A$2:$A$114,$A24,'Raw Data'!$E$2:$E$114,"Hot dog bun")</f>
        <v>0</v>
      </c>
      <c r="S24" s="37" t="n">
        <f aca="false">SUMIFS('Raw Data'!$F$2:$F$114,'Raw Data'!$A$2:$A$114,$A24,'Raw Data'!$E$2:$E$114,"S'mores")</f>
        <v>0</v>
      </c>
      <c r="T24" s="37" t="n">
        <f aca="false">SUMIFS('Raw Data'!$F$2:$F$114,'Raw Data'!$A$2:$A$114,$A24,'Raw Data'!$E$2:$E$114,"Chocolate bar")</f>
        <v>1</v>
      </c>
      <c r="U24" s="37" t="n">
        <f aca="false">SUMIFS('Raw Data'!$F$2:$F$114,'Raw Data'!$A$2:$A$114,$A24,'Raw Data'!$E$2:$E$114,"Avocado")</f>
        <v>0</v>
      </c>
      <c r="V24" s="37" t="n">
        <f aca="false">SUMIFS('Raw Data'!$F$2:$F$114,'Raw Data'!$A$2:$A$114,$A24,'Raw Data'!$E$2:$E$114,"Dumpling")</f>
        <v>0</v>
      </c>
      <c r="W24" s="37" t="n">
        <f aca="false">SUMIFS('Raw Data'!$F$2:$F$114,'Raw Data'!$A$2:$A$114,$A24,'Raw Data'!$E$2:$E$114,"Creeper")</f>
        <v>0</v>
      </c>
      <c r="X24" s="37" t="n">
        <f aca="false">SUMIFS('Raw Data'!$F$2:$F$114,'Raw Data'!$A$2:$A$114,$A24,'Raw Data'!$E$2:$E$114,"Oreo")</f>
        <v>0</v>
      </c>
      <c r="Y24" s="37" t="n">
        <f aca="false">SUMIFS('Raw Data'!$F$2:$F$114,'Raw Data'!$A$2:$A$114,$A24,'Raw Data'!$E$2:$E$114,"Spam musubi")</f>
        <v>0</v>
      </c>
      <c r="Z24" s="37" t="n">
        <f aca="false">SUMIFS('Raw Data'!$F$2:$F$114,'Raw Data'!$A$2:$A$114,$A24,'Raw Data'!$E$2:$E$114,"Salmon nigiri")</f>
        <v>0</v>
      </c>
      <c r="AA24" s="37" t="n">
        <f aca="false">SUMIFS('Raw Data'!$F$2:$F$114,'Raw Data'!$A$2:$A$114,$A24,'Raw Data'!$E$2:$E$114,"LEGO brick")</f>
        <v>0</v>
      </c>
      <c r="AB24" s="37" t="n">
        <f aca="false">SUMIFS('Raw Data'!$F$2:$F$114,'Raw Data'!$A$2:$A$114,$A24,'Raw Data'!$E$2:$E$114,"WD-40")</f>
        <v>1</v>
      </c>
      <c r="AC24" s="37" t="n">
        <f aca="false">SUMIFS('Raw Data'!$F$2:$F$114,'Raw Data'!$A$2:$A$114,$A24,'Raw Data'!$E$2:$E$114,"Creeper infinity cube")</f>
        <v>1</v>
      </c>
      <c r="AD24" s="37" t="n">
        <f aca="false">SUMIFS('Raw Data'!$F$2:$F$114,'Raw Data'!$A$2:$A$114,$A24,'Raw Data'!$E$2:$E$114,"Burger")</f>
        <v>0</v>
      </c>
      <c r="AE24" s="37" t="n">
        <f aca="false">SUMIFS('Raw Data'!$F$2:$F$114,'Raw Data'!$A$2:$A$114,$A24,'Raw Data'!$E$2:$E$114,"Full kit")</f>
        <v>0</v>
      </c>
      <c r="AF24" s="37" t="n">
        <f aca="false">SUMIFS('Raw Data'!$F$2:$F$114,'Raw Data'!$A$2:$A$114,$A24,'Raw Data'!$E$2:$E$114,"Kit w/ toroidal")</f>
        <v>0</v>
      </c>
    </row>
    <row r="25" customFormat="false" ht="15" hidden="false" customHeight="false" outlineLevel="0" collapsed="false">
      <c r="A25" s="17" t="s">
        <v>322</v>
      </c>
      <c r="B25" s="38" t="n">
        <v>46312.4643171296</v>
      </c>
      <c r="C25" s="38" t="n">
        <v>46312.4644560185</v>
      </c>
      <c r="D25" s="16" t="n">
        <f aca="false">(C25-B25)*86400</f>
        <v>12</v>
      </c>
      <c r="E25" s="17" t="s">
        <v>251</v>
      </c>
      <c r="F25" s="17" t="s">
        <v>255</v>
      </c>
      <c r="G25" s="16" t="n">
        <f aca="false">SUMIFS('Raw Data'!$G$2:$G$114,'Raw Data'!$A$2:$A$114,A25)</f>
        <v>10</v>
      </c>
      <c r="H25" s="16" t="n">
        <f aca="false">SUMIFS('Raw Data'!$F$2:$F$114,'Raw Data'!$A$2:$A$114,A25)</f>
        <v>3</v>
      </c>
      <c r="I25" s="16" t="n">
        <f aca="false">SUMIFS('Raw Data'!$K$2:$K$114,'Raw Data'!$A$2:$A$114,A25)</f>
        <v>1</v>
      </c>
      <c r="J25" s="16" t="n">
        <f aca="false">COUNTIF(Q25:AF25,"&gt;0")</f>
        <v>3</v>
      </c>
      <c r="K25" s="16" t="n">
        <f aca="false">COUNTIF(L25:P25,"&gt;0")</f>
        <v>3</v>
      </c>
      <c r="L25" s="37" t="n">
        <f aca="false">SUMIFS('Raw Data'!$F$2:$F$114,'Raw Data'!$A$2:$A$114,$A25,'Raw Data'!$L$2:$L$114,"Asian food")</f>
        <v>1</v>
      </c>
      <c r="M25" s="37" t="n">
        <f aca="false">SUMIFS('Raw Data'!$F$2:$F$114,'Raw Data'!$A$2:$A$114,$A25,'Raw Data'!$L$2:$L$114,"Snacks &amp; treats")</f>
        <v>1</v>
      </c>
      <c r="N25" s="37" t="n">
        <f aca="false">SUMIFS('Raw Data'!$F$2:$F$114,'Raw Data'!$A$2:$A$114,$A25,'Raw Data'!$L$2:$L$114,"Minecraft")</f>
        <v>1</v>
      </c>
      <c r="O25" s="37" t="n">
        <f aca="false">SUMIFS('Raw Data'!$F$2:$F$114,'Raw Data'!$A$2:$A$114,$A25,'Raw Data'!$L$2:$L$114,"Workshop")</f>
        <v>0</v>
      </c>
      <c r="P25" s="37" t="n">
        <f aca="false">SUMIFS('Raw Data'!$F$2:$F$114,'Raw Data'!$A$2:$A$114,$A25,'Raw Data'!$L$2:$L$114,"Copters")</f>
        <v>0</v>
      </c>
      <c r="Q25" s="37" t="n">
        <f aca="false">SUMIFS('Raw Data'!$F$2:$F$114,'Raw Data'!$A$2:$A$114,$A25,'Raw Data'!$E$2:$E$114,"Egg tart")</f>
        <v>0</v>
      </c>
      <c r="R25" s="37" t="n">
        <f aca="false">SUMIFS('Raw Data'!$F$2:$F$114,'Raw Data'!$A$2:$A$114,$A25,'Raw Data'!$E$2:$E$114,"Hot dog bun")</f>
        <v>1</v>
      </c>
      <c r="S25" s="37" t="n">
        <f aca="false">SUMIFS('Raw Data'!$F$2:$F$114,'Raw Data'!$A$2:$A$114,$A25,'Raw Data'!$E$2:$E$114,"S'mores")</f>
        <v>0</v>
      </c>
      <c r="T25" s="37" t="n">
        <f aca="false">SUMIFS('Raw Data'!$F$2:$F$114,'Raw Data'!$A$2:$A$114,$A25,'Raw Data'!$E$2:$E$114,"Chocolate bar")</f>
        <v>0</v>
      </c>
      <c r="U25" s="37" t="n">
        <f aca="false">SUMIFS('Raw Data'!$F$2:$F$114,'Raw Data'!$A$2:$A$114,$A25,'Raw Data'!$E$2:$E$114,"Avocado")</f>
        <v>0</v>
      </c>
      <c r="V25" s="37" t="n">
        <f aca="false">SUMIFS('Raw Data'!$F$2:$F$114,'Raw Data'!$A$2:$A$114,$A25,'Raw Data'!$E$2:$E$114,"Dumpling")</f>
        <v>1</v>
      </c>
      <c r="W25" s="37" t="n">
        <f aca="false">SUMIFS('Raw Data'!$F$2:$F$114,'Raw Data'!$A$2:$A$114,$A25,'Raw Data'!$E$2:$E$114,"Creeper")</f>
        <v>1</v>
      </c>
      <c r="X25" s="37" t="n">
        <f aca="false">SUMIFS('Raw Data'!$F$2:$F$114,'Raw Data'!$A$2:$A$114,$A25,'Raw Data'!$E$2:$E$114,"Oreo")</f>
        <v>0</v>
      </c>
      <c r="Y25" s="37" t="n">
        <f aca="false">SUMIFS('Raw Data'!$F$2:$F$114,'Raw Data'!$A$2:$A$114,$A25,'Raw Data'!$E$2:$E$114,"Spam musubi")</f>
        <v>0</v>
      </c>
      <c r="Z25" s="37" t="n">
        <f aca="false">SUMIFS('Raw Data'!$F$2:$F$114,'Raw Data'!$A$2:$A$114,$A25,'Raw Data'!$E$2:$E$114,"Salmon nigiri")</f>
        <v>0</v>
      </c>
      <c r="AA25" s="37" t="n">
        <f aca="false">SUMIFS('Raw Data'!$F$2:$F$114,'Raw Data'!$A$2:$A$114,$A25,'Raw Data'!$E$2:$E$114,"LEGO brick")</f>
        <v>0</v>
      </c>
      <c r="AB25" s="37" t="n">
        <f aca="false">SUMIFS('Raw Data'!$F$2:$F$114,'Raw Data'!$A$2:$A$114,$A25,'Raw Data'!$E$2:$E$114,"WD-40")</f>
        <v>0</v>
      </c>
      <c r="AC25" s="37" t="n">
        <f aca="false">SUMIFS('Raw Data'!$F$2:$F$114,'Raw Data'!$A$2:$A$114,$A25,'Raw Data'!$E$2:$E$114,"Creeper infinity cube")</f>
        <v>0</v>
      </c>
      <c r="AD25" s="37" t="n">
        <f aca="false">SUMIFS('Raw Data'!$F$2:$F$114,'Raw Data'!$A$2:$A$114,$A25,'Raw Data'!$E$2:$E$114,"Burger")</f>
        <v>0</v>
      </c>
      <c r="AE25" s="37" t="n">
        <f aca="false">SUMIFS('Raw Data'!$F$2:$F$114,'Raw Data'!$A$2:$A$114,$A25,'Raw Data'!$E$2:$E$114,"Full kit")</f>
        <v>0</v>
      </c>
      <c r="AF25" s="37" t="n">
        <f aca="false">SUMIFS('Raw Data'!$F$2:$F$114,'Raw Data'!$A$2:$A$114,$A25,'Raw Data'!$E$2:$E$114,"Kit w/ toroidal")</f>
        <v>0</v>
      </c>
    </row>
    <row r="26" customFormat="false" ht="15" hidden="false" customHeight="false" outlineLevel="0" collapsed="false">
      <c r="A26" s="17" t="s">
        <v>323</v>
      </c>
      <c r="B26" s="38" t="n">
        <v>46312.4682407407</v>
      </c>
      <c r="C26" s="38" t="n">
        <v>46312.4682523148</v>
      </c>
      <c r="D26" s="16" t="n">
        <f aca="false">(C26-B26)*86400</f>
        <v>1</v>
      </c>
      <c r="E26" s="17" t="s">
        <v>251</v>
      </c>
      <c r="F26" s="17" t="s">
        <v>255</v>
      </c>
      <c r="G26" s="16" t="n">
        <f aca="false">SUMIFS('Raw Data'!$G$2:$G$114,'Raw Data'!$A$2:$A$114,A26)</f>
        <v>4</v>
      </c>
      <c r="H26" s="16" t="n">
        <f aca="false">SUMIFS('Raw Data'!$F$2:$F$114,'Raw Data'!$A$2:$A$114,A26)</f>
        <v>1</v>
      </c>
      <c r="I26" s="16" t="n">
        <f aca="false">SUMIFS('Raw Data'!$K$2:$K$114,'Raw Data'!$A$2:$A$114,A26)</f>
        <v>0</v>
      </c>
      <c r="J26" s="16" t="n">
        <f aca="false">COUNTIF(Q26:AF26,"&gt;0")</f>
        <v>1</v>
      </c>
      <c r="K26" s="16" t="n">
        <f aca="false">COUNTIF(L26:P26,"&gt;0")</f>
        <v>1</v>
      </c>
      <c r="L26" s="37" t="n">
        <f aca="false">SUMIFS('Raw Data'!$F$2:$F$114,'Raw Data'!$A$2:$A$114,$A26,'Raw Data'!$L$2:$L$114,"Asian food")</f>
        <v>1</v>
      </c>
      <c r="M26" s="37" t="n">
        <f aca="false">SUMIFS('Raw Data'!$F$2:$F$114,'Raw Data'!$A$2:$A$114,$A26,'Raw Data'!$L$2:$L$114,"Snacks &amp; treats")</f>
        <v>0</v>
      </c>
      <c r="N26" s="37" t="n">
        <f aca="false">SUMIFS('Raw Data'!$F$2:$F$114,'Raw Data'!$A$2:$A$114,$A26,'Raw Data'!$L$2:$L$114,"Minecraft")</f>
        <v>0</v>
      </c>
      <c r="O26" s="37" t="n">
        <f aca="false">SUMIFS('Raw Data'!$F$2:$F$114,'Raw Data'!$A$2:$A$114,$A26,'Raw Data'!$L$2:$L$114,"Workshop")</f>
        <v>0</v>
      </c>
      <c r="P26" s="37" t="n">
        <f aca="false">SUMIFS('Raw Data'!$F$2:$F$114,'Raw Data'!$A$2:$A$114,$A26,'Raw Data'!$L$2:$L$114,"Copters")</f>
        <v>0</v>
      </c>
      <c r="Q26" s="37" t="n">
        <f aca="false">SUMIFS('Raw Data'!$F$2:$F$114,'Raw Data'!$A$2:$A$114,$A26,'Raw Data'!$E$2:$E$114,"Egg tart")</f>
        <v>0</v>
      </c>
      <c r="R26" s="37" t="n">
        <f aca="false">SUMIFS('Raw Data'!$F$2:$F$114,'Raw Data'!$A$2:$A$114,$A26,'Raw Data'!$E$2:$E$114,"Hot dog bun")</f>
        <v>0</v>
      </c>
      <c r="S26" s="37" t="n">
        <f aca="false">SUMIFS('Raw Data'!$F$2:$F$114,'Raw Data'!$A$2:$A$114,$A26,'Raw Data'!$E$2:$E$114,"S'mores")</f>
        <v>0</v>
      </c>
      <c r="T26" s="37" t="n">
        <f aca="false">SUMIFS('Raw Data'!$F$2:$F$114,'Raw Data'!$A$2:$A$114,$A26,'Raw Data'!$E$2:$E$114,"Chocolate bar")</f>
        <v>0</v>
      </c>
      <c r="U26" s="37" t="n">
        <f aca="false">SUMIFS('Raw Data'!$F$2:$F$114,'Raw Data'!$A$2:$A$114,$A26,'Raw Data'!$E$2:$E$114,"Avocado")</f>
        <v>0</v>
      </c>
      <c r="V26" s="37" t="n">
        <f aca="false">SUMIFS('Raw Data'!$F$2:$F$114,'Raw Data'!$A$2:$A$114,$A26,'Raw Data'!$E$2:$E$114,"Dumpling")</f>
        <v>0</v>
      </c>
      <c r="W26" s="37" t="n">
        <f aca="false">SUMIFS('Raw Data'!$F$2:$F$114,'Raw Data'!$A$2:$A$114,$A26,'Raw Data'!$E$2:$E$114,"Creeper")</f>
        <v>0</v>
      </c>
      <c r="X26" s="37" t="n">
        <f aca="false">SUMIFS('Raw Data'!$F$2:$F$114,'Raw Data'!$A$2:$A$114,$A26,'Raw Data'!$E$2:$E$114,"Oreo")</f>
        <v>0</v>
      </c>
      <c r="Y26" s="37" t="n">
        <f aca="false">SUMIFS('Raw Data'!$F$2:$F$114,'Raw Data'!$A$2:$A$114,$A26,'Raw Data'!$E$2:$E$114,"Spam musubi")</f>
        <v>0</v>
      </c>
      <c r="Z26" s="37" t="n">
        <f aca="false">SUMIFS('Raw Data'!$F$2:$F$114,'Raw Data'!$A$2:$A$114,$A26,'Raw Data'!$E$2:$E$114,"Salmon nigiri")</f>
        <v>1</v>
      </c>
      <c r="AA26" s="37" t="n">
        <f aca="false">SUMIFS('Raw Data'!$F$2:$F$114,'Raw Data'!$A$2:$A$114,$A26,'Raw Data'!$E$2:$E$114,"LEGO brick")</f>
        <v>0</v>
      </c>
      <c r="AB26" s="37" t="n">
        <f aca="false">SUMIFS('Raw Data'!$F$2:$F$114,'Raw Data'!$A$2:$A$114,$A26,'Raw Data'!$E$2:$E$114,"WD-40")</f>
        <v>0</v>
      </c>
      <c r="AC26" s="37" t="n">
        <f aca="false">SUMIFS('Raw Data'!$F$2:$F$114,'Raw Data'!$A$2:$A$114,$A26,'Raw Data'!$E$2:$E$114,"Creeper infinity cube")</f>
        <v>0</v>
      </c>
      <c r="AD26" s="37" t="n">
        <f aca="false">SUMIFS('Raw Data'!$F$2:$F$114,'Raw Data'!$A$2:$A$114,$A26,'Raw Data'!$E$2:$E$114,"Burger")</f>
        <v>0</v>
      </c>
      <c r="AE26" s="37" t="n">
        <f aca="false">SUMIFS('Raw Data'!$F$2:$F$114,'Raw Data'!$A$2:$A$114,$A26,'Raw Data'!$E$2:$E$114,"Full kit")</f>
        <v>0</v>
      </c>
      <c r="AF26" s="37" t="n">
        <f aca="false">SUMIFS('Raw Data'!$F$2:$F$114,'Raw Data'!$A$2:$A$114,$A26,'Raw Data'!$E$2:$E$114,"Kit w/ toroidal")</f>
        <v>0</v>
      </c>
    </row>
    <row r="27" customFormat="false" ht="15" hidden="false" customHeight="false" outlineLevel="0" collapsed="false">
      <c r="A27" s="17" t="s">
        <v>324</v>
      </c>
      <c r="B27" s="38" t="n">
        <v>46312.4686689815</v>
      </c>
      <c r="C27" s="38" t="n">
        <v>46312.4686921296</v>
      </c>
      <c r="D27" s="16" t="n">
        <f aca="false">(C27-B27)*86400</f>
        <v>2</v>
      </c>
      <c r="E27" s="17" t="s">
        <v>251</v>
      </c>
      <c r="F27" s="17" t="s">
        <v>256</v>
      </c>
      <c r="G27" s="16" t="n">
        <f aca="false">SUMIFS('Raw Data'!$G$2:$G$114,'Raw Data'!$A$2:$A$114,A27)</f>
        <v>4</v>
      </c>
      <c r="H27" s="16" t="n">
        <f aca="false">SUMIFS('Raw Data'!$F$2:$F$114,'Raw Data'!$A$2:$A$114,A27)</f>
        <v>1</v>
      </c>
      <c r="I27" s="16" t="n">
        <f aca="false">SUMIFS('Raw Data'!$K$2:$K$114,'Raw Data'!$A$2:$A$114,A27)</f>
        <v>0</v>
      </c>
      <c r="J27" s="16" t="n">
        <f aca="false">COUNTIF(Q27:AF27,"&gt;0")</f>
        <v>1</v>
      </c>
      <c r="K27" s="16" t="n">
        <f aca="false">COUNTIF(L27:P27,"&gt;0")</f>
        <v>1</v>
      </c>
      <c r="L27" s="37" t="n">
        <f aca="false">SUMIFS('Raw Data'!$F$2:$F$114,'Raw Data'!$A$2:$A$114,$A27,'Raw Data'!$L$2:$L$114,"Asian food")</f>
        <v>1</v>
      </c>
      <c r="M27" s="37" t="n">
        <f aca="false">SUMIFS('Raw Data'!$F$2:$F$114,'Raw Data'!$A$2:$A$114,$A27,'Raw Data'!$L$2:$L$114,"Snacks &amp; treats")</f>
        <v>0</v>
      </c>
      <c r="N27" s="37" t="n">
        <f aca="false">SUMIFS('Raw Data'!$F$2:$F$114,'Raw Data'!$A$2:$A$114,$A27,'Raw Data'!$L$2:$L$114,"Minecraft")</f>
        <v>0</v>
      </c>
      <c r="O27" s="37" t="n">
        <f aca="false">SUMIFS('Raw Data'!$F$2:$F$114,'Raw Data'!$A$2:$A$114,$A27,'Raw Data'!$L$2:$L$114,"Workshop")</f>
        <v>0</v>
      </c>
      <c r="P27" s="37" t="n">
        <f aca="false">SUMIFS('Raw Data'!$F$2:$F$114,'Raw Data'!$A$2:$A$114,$A27,'Raw Data'!$L$2:$L$114,"Copters")</f>
        <v>0</v>
      </c>
      <c r="Q27" s="37" t="n">
        <f aca="false">SUMIFS('Raw Data'!$F$2:$F$114,'Raw Data'!$A$2:$A$114,$A27,'Raw Data'!$E$2:$E$114,"Egg tart")</f>
        <v>0</v>
      </c>
      <c r="R27" s="37" t="n">
        <f aca="false">SUMIFS('Raw Data'!$F$2:$F$114,'Raw Data'!$A$2:$A$114,$A27,'Raw Data'!$E$2:$E$114,"Hot dog bun")</f>
        <v>0</v>
      </c>
      <c r="S27" s="37" t="n">
        <f aca="false">SUMIFS('Raw Data'!$F$2:$F$114,'Raw Data'!$A$2:$A$114,$A27,'Raw Data'!$E$2:$E$114,"S'mores")</f>
        <v>0</v>
      </c>
      <c r="T27" s="37" t="n">
        <f aca="false">SUMIFS('Raw Data'!$F$2:$F$114,'Raw Data'!$A$2:$A$114,$A27,'Raw Data'!$E$2:$E$114,"Chocolate bar")</f>
        <v>0</v>
      </c>
      <c r="U27" s="37" t="n">
        <f aca="false">SUMIFS('Raw Data'!$F$2:$F$114,'Raw Data'!$A$2:$A$114,$A27,'Raw Data'!$E$2:$E$114,"Avocado")</f>
        <v>0</v>
      </c>
      <c r="V27" s="37" t="n">
        <f aca="false">SUMIFS('Raw Data'!$F$2:$F$114,'Raw Data'!$A$2:$A$114,$A27,'Raw Data'!$E$2:$E$114,"Dumpling")</f>
        <v>1</v>
      </c>
      <c r="W27" s="37" t="n">
        <f aca="false">SUMIFS('Raw Data'!$F$2:$F$114,'Raw Data'!$A$2:$A$114,$A27,'Raw Data'!$E$2:$E$114,"Creeper")</f>
        <v>0</v>
      </c>
      <c r="X27" s="37" t="n">
        <f aca="false">SUMIFS('Raw Data'!$F$2:$F$114,'Raw Data'!$A$2:$A$114,$A27,'Raw Data'!$E$2:$E$114,"Oreo")</f>
        <v>0</v>
      </c>
      <c r="Y27" s="37" t="n">
        <f aca="false">SUMIFS('Raw Data'!$F$2:$F$114,'Raw Data'!$A$2:$A$114,$A27,'Raw Data'!$E$2:$E$114,"Spam musubi")</f>
        <v>0</v>
      </c>
      <c r="Z27" s="37" t="n">
        <f aca="false">SUMIFS('Raw Data'!$F$2:$F$114,'Raw Data'!$A$2:$A$114,$A27,'Raw Data'!$E$2:$E$114,"Salmon nigiri")</f>
        <v>0</v>
      </c>
      <c r="AA27" s="37" t="n">
        <f aca="false">SUMIFS('Raw Data'!$F$2:$F$114,'Raw Data'!$A$2:$A$114,$A27,'Raw Data'!$E$2:$E$114,"LEGO brick")</f>
        <v>0</v>
      </c>
      <c r="AB27" s="37" t="n">
        <f aca="false">SUMIFS('Raw Data'!$F$2:$F$114,'Raw Data'!$A$2:$A$114,$A27,'Raw Data'!$E$2:$E$114,"WD-40")</f>
        <v>0</v>
      </c>
      <c r="AC27" s="37" t="n">
        <f aca="false">SUMIFS('Raw Data'!$F$2:$F$114,'Raw Data'!$A$2:$A$114,$A27,'Raw Data'!$E$2:$E$114,"Creeper infinity cube")</f>
        <v>0</v>
      </c>
      <c r="AD27" s="37" t="n">
        <f aca="false">SUMIFS('Raw Data'!$F$2:$F$114,'Raw Data'!$A$2:$A$114,$A27,'Raw Data'!$E$2:$E$114,"Burger")</f>
        <v>0</v>
      </c>
      <c r="AE27" s="37" t="n">
        <f aca="false">SUMIFS('Raw Data'!$F$2:$F$114,'Raw Data'!$A$2:$A$114,$A27,'Raw Data'!$E$2:$E$114,"Full kit")</f>
        <v>0</v>
      </c>
      <c r="AF27" s="37" t="n">
        <f aca="false">SUMIFS('Raw Data'!$F$2:$F$114,'Raw Data'!$A$2:$A$114,$A27,'Raw Data'!$E$2:$E$114,"Kit w/ toroidal")</f>
        <v>0</v>
      </c>
    </row>
    <row r="28" customFormat="false" ht="15" hidden="false" customHeight="false" outlineLevel="0" collapsed="false">
      <c r="A28" s="17" t="s">
        <v>325</v>
      </c>
      <c r="B28" s="38" t="n">
        <v>46312.4689814815</v>
      </c>
      <c r="C28" s="38" t="n">
        <v>46312.4690162037</v>
      </c>
      <c r="D28" s="16" t="n">
        <f aca="false">(C28-B28)*86400</f>
        <v>3</v>
      </c>
      <c r="E28" s="17" t="s">
        <v>252</v>
      </c>
      <c r="F28" s="17" t="s">
        <v>256</v>
      </c>
      <c r="G28" s="16" t="n">
        <f aca="false">SUMIFS('Raw Data'!$G$2:$G$114,'Raw Data'!$A$2:$A$114,A28)</f>
        <v>4</v>
      </c>
      <c r="H28" s="16" t="n">
        <f aca="false">SUMIFS('Raw Data'!$F$2:$F$114,'Raw Data'!$A$2:$A$114,A28)</f>
        <v>1</v>
      </c>
      <c r="I28" s="16" t="n">
        <f aca="false">SUMIFS('Raw Data'!$K$2:$K$114,'Raw Data'!$A$2:$A$114,A28)</f>
        <v>0</v>
      </c>
      <c r="J28" s="16" t="n">
        <f aca="false">COUNTIF(Q28:AF28,"&gt;0")</f>
        <v>1</v>
      </c>
      <c r="K28" s="16" t="n">
        <f aca="false">COUNTIF(L28:P28,"&gt;0")</f>
        <v>1</v>
      </c>
      <c r="L28" s="37" t="n">
        <f aca="false">SUMIFS('Raw Data'!$F$2:$F$114,'Raw Data'!$A$2:$A$114,$A28,'Raw Data'!$L$2:$L$114,"Asian food")</f>
        <v>1</v>
      </c>
      <c r="M28" s="37" t="n">
        <f aca="false">SUMIFS('Raw Data'!$F$2:$F$114,'Raw Data'!$A$2:$A$114,$A28,'Raw Data'!$L$2:$L$114,"Snacks &amp; treats")</f>
        <v>0</v>
      </c>
      <c r="N28" s="37" t="n">
        <f aca="false">SUMIFS('Raw Data'!$F$2:$F$114,'Raw Data'!$A$2:$A$114,$A28,'Raw Data'!$L$2:$L$114,"Minecraft")</f>
        <v>0</v>
      </c>
      <c r="O28" s="37" t="n">
        <f aca="false">SUMIFS('Raw Data'!$F$2:$F$114,'Raw Data'!$A$2:$A$114,$A28,'Raw Data'!$L$2:$L$114,"Workshop")</f>
        <v>0</v>
      </c>
      <c r="P28" s="37" t="n">
        <f aca="false">SUMIFS('Raw Data'!$F$2:$F$114,'Raw Data'!$A$2:$A$114,$A28,'Raw Data'!$L$2:$L$114,"Copters")</f>
        <v>0</v>
      </c>
      <c r="Q28" s="37" t="n">
        <f aca="false">SUMIFS('Raw Data'!$F$2:$F$114,'Raw Data'!$A$2:$A$114,$A28,'Raw Data'!$E$2:$E$114,"Egg tart")</f>
        <v>1</v>
      </c>
      <c r="R28" s="37" t="n">
        <f aca="false">SUMIFS('Raw Data'!$F$2:$F$114,'Raw Data'!$A$2:$A$114,$A28,'Raw Data'!$E$2:$E$114,"Hot dog bun")</f>
        <v>0</v>
      </c>
      <c r="S28" s="37" t="n">
        <f aca="false">SUMIFS('Raw Data'!$F$2:$F$114,'Raw Data'!$A$2:$A$114,$A28,'Raw Data'!$E$2:$E$114,"S'mores")</f>
        <v>0</v>
      </c>
      <c r="T28" s="37" t="n">
        <f aca="false">SUMIFS('Raw Data'!$F$2:$F$114,'Raw Data'!$A$2:$A$114,$A28,'Raw Data'!$E$2:$E$114,"Chocolate bar")</f>
        <v>0</v>
      </c>
      <c r="U28" s="37" t="n">
        <f aca="false">SUMIFS('Raw Data'!$F$2:$F$114,'Raw Data'!$A$2:$A$114,$A28,'Raw Data'!$E$2:$E$114,"Avocado")</f>
        <v>0</v>
      </c>
      <c r="V28" s="37" t="n">
        <f aca="false">SUMIFS('Raw Data'!$F$2:$F$114,'Raw Data'!$A$2:$A$114,$A28,'Raw Data'!$E$2:$E$114,"Dumpling")</f>
        <v>0</v>
      </c>
      <c r="W28" s="37" t="n">
        <f aca="false">SUMIFS('Raw Data'!$F$2:$F$114,'Raw Data'!$A$2:$A$114,$A28,'Raw Data'!$E$2:$E$114,"Creeper")</f>
        <v>0</v>
      </c>
      <c r="X28" s="37" t="n">
        <f aca="false">SUMIFS('Raw Data'!$F$2:$F$114,'Raw Data'!$A$2:$A$114,$A28,'Raw Data'!$E$2:$E$114,"Oreo")</f>
        <v>0</v>
      </c>
      <c r="Y28" s="37" t="n">
        <f aca="false">SUMIFS('Raw Data'!$F$2:$F$114,'Raw Data'!$A$2:$A$114,$A28,'Raw Data'!$E$2:$E$114,"Spam musubi")</f>
        <v>0</v>
      </c>
      <c r="Z28" s="37" t="n">
        <f aca="false">SUMIFS('Raw Data'!$F$2:$F$114,'Raw Data'!$A$2:$A$114,$A28,'Raw Data'!$E$2:$E$114,"Salmon nigiri")</f>
        <v>0</v>
      </c>
      <c r="AA28" s="37" t="n">
        <f aca="false">SUMIFS('Raw Data'!$F$2:$F$114,'Raw Data'!$A$2:$A$114,$A28,'Raw Data'!$E$2:$E$114,"LEGO brick")</f>
        <v>0</v>
      </c>
      <c r="AB28" s="37" t="n">
        <f aca="false">SUMIFS('Raw Data'!$F$2:$F$114,'Raw Data'!$A$2:$A$114,$A28,'Raw Data'!$E$2:$E$114,"WD-40")</f>
        <v>0</v>
      </c>
      <c r="AC28" s="37" t="n">
        <f aca="false">SUMIFS('Raw Data'!$F$2:$F$114,'Raw Data'!$A$2:$A$114,$A28,'Raw Data'!$E$2:$E$114,"Creeper infinity cube")</f>
        <v>0</v>
      </c>
      <c r="AD28" s="37" t="n">
        <f aca="false">SUMIFS('Raw Data'!$F$2:$F$114,'Raw Data'!$A$2:$A$114,$A28,'Raw Data'!$E$2:$E$114,"Burger")</f>
        <v>0</v>
      </c>
      <c r="AE28" s="37" t="n">
        <f aca="false">SUMIFS('Raw Data'!$F$2:$F$114,'Raw Data'!$A$2:$A$114,$A28,'Raw Data'!$E$2:$E$114,"Full kit")</f>
        <v>0</v>
      </c>
      <c r="AF28" s="37" t="n">
        <f aca="false">SUMIFS('Raw Data'!$F$2:$F$114,'Raw Data'!$A$2:$A$114,$A28,'Raw Data'!$E$2:$E$114,"Kit w/ toroidal")</f>
        <v>0</v>
      </c>
    </row>
    <row r="29" customFormat="false" ht="15" hidden="false" customHeight="false" outlineLevel="0" collapsed="false">
      <c r="A29" s="17" t="s">
        <v>326</v>
      </c>
      <c r="B29" s="38" t="n">
        <v>46312.4690740741</v>
      </c>
      <c r="C29" s="38" t="n">
        <v>46312.4690972222</v>
      </c>
      <c r="D29" s="16" t="n">
        <f aca="false">(C29-B29)*86400</f>
        <v>2</v>
      </c>
      <c r="E29" s="17" t="s">
        <v>251</v>
      </c>
      <c r="F29" s="17" t="s">
        <v>256</v>
      </c>
      <c r="G29" s="16" t="n">
        <f aca="false">SUMIFS('Raw Data'!$G$2:$G$114,'Raw Data'!$A$2:$A$114,A29)</f>
        <v>4</v>
      </c>
      <c r="H29" s="16" t="n">
        <f aca="false">SUMIFS('Raw Data'!$F$2:$F$114,'Raw Data'!$A$2:$A$114,A29)</f>
        <v>1</v>
      </c>
      <c r="I29" s="16" t="n">
        <f aca="false">SUMIFS('Raw Data'!$K$2:$K$114,'Raw Data'!$A$2:$A$114,A29)</f>
        <v>0</v>
      </c>
      <c r="J29" s="16" t="n">
        <f aca="false">COUNTIF(Q29:AF29,"&gt;0")</f>
        <v>1</v>
      </c>
      <c r="K29" s="16" t="n">
        <f aca="false">COUNTIF(L29:P29,"&gt;0")</f>
        <v>1</v>
      </c>
      <c r="L29" s="37" t="n">
        <f aca="false">SUMIFS('Raw Data'!$F$2:$F$114,'Raw Data'!$A$2:$A$114,$A29,'Raw Data'!$L$2:$L$114,"Asian food")</f>
        <v>0</v>
      </c>
      <c r="M29" s="37" t="n">
        <f aca="false">SUMIFS('Raw Data'!$F$2:$F$114,'Raw Data'!$A$2:$A$114,$A29,'Raw Data'!$L$2:$L$114,"Snacks &amp; treats")</f>
        <v>1</v>
      </c>
      <c r="N29" s="37" t="n">
        <f aca="false">SUMIFS('Raw Data'!$F$2:$F$114,'Raw Data'!$A$2:$A$114,$A29,'Raw Data'!$L$2:$L$114,"Minecraft")</f>
        <v>0</v>
      </c>
      <c r="O29" s="37" t="n">
        <f aca="false">SUMIFS('Raw Data'!$F$2:$F$114,'Raw Data'!$A$2:$A$114,$A29,'Raw Data'!$L$2:$L$114,"Workshop")</f>
        <v>0</v>
      </c>
      <c r="P29" s="37" t="n">
        <f aca="false">SUMIFS('Raw Data'!$F$2:$F$114,'Raw Data'!$A$2:$A$114,$A29,'Raw Data'!$L$2:$L$114,"Copters")</f>
        <v>0</v>
      </c>
      <c r="Q29" s="37" t="n">
        <f aca="false">SUMIFS('Raw Data'!$F$2:$F$114,'Raw Data'!$A$2:$A$114,$A29,'Raw Data'!$E$2:$E$114,"Egg tart")</f>
        <v>0</v>
      </c>
      <c r="R29" s="37" t="n">
        <f aca="false">SUMIFS('Raw Data'!$F$2:$F$114,'Raw Data'!$A$2:$A$114,$A29,'Raw Data'!$E$2:$E$114,"Hot dog bun")</f>
        <v>0</v>
      </c>
      <c r="S29" s="37" t="n">
        <f aca="false">SUMIFS('Raw Data'!$F$2:$F$114,'Raw Data'!$A$2:$A$114,$A29,'Raw Data'!$E$2:$E$114,"S'mores")</f>
        <v>0</v>
      </c>
      <c r="T29" s="37" t="n">
        <f aca="false">SUMIFS('Raw Data'!$F$2:$F$114,'Raw Data'!$A$2:$A$114,$A29,'Raw Data'!$E$2:$E$114,"Chocolate bar")</f>
        <v>1</v>
      </c>
      <c r="U29" s="37" t="n">
        <f aca="false">SUMIFS('Raw Data'!$F$2:$F$114,'Raw Data'!$A$2:$A$114,$A29,'Raw Data'!$E$2:$E$114,"Avocado")</f>
        <v>0</v>
      </c>
      <c r="V29" s="37" t="n">
        <f aca="false">SUMIFS('Raw Data'!$F$2:$F$114,'Raw Data'!$A$2:$A$114,$A29,'Raw Data'!$E$2:$E$114,"Dumpling")</f>
        <v>0</v>
      </c>
      <c r="W29" s="37" t="n">
        <f aca="false">SUMIFS('Raw Data'!$F$2:$F$114,'Raw Data'!$A$2:$A$114,$A29,'Raw Data'!$E$2:$E$114,"Creeper")</f>
        <v>0</v>
      </c>
      <c r="X29" s="37" t="n">
        <f aca="false">SUMIFS('Raw Data'!$F$2:$F$114,'Raw Data'!$A$2:$A$114,$A29,'Raw Data'!$E$2:$E$114,"Oreo")</f>
        <v>0</v>
      </c>
      <c r="Y29" s="37" t="n">
        <f aca="false">SUMIFS('Raw Data'!$F$2:$F$114,'Raw Data'!$A$2:$A$114,$A29,'Raw Data'!$E$2:$E$114,"Spam musubi")</f>
        <v>0</v>
      </c>
      <c r="Z29" s="37" t="n">
        <f aca="false">SUMIFS('Raw Data'!$F$2:$F$114,'Raw Data'!$A$2:$A$114,$A29,'Raw Data'!$E$2:$E$114,"Salmon nigiri")</f>
        <v>0</v>
      </c>
      <c r="AA29" s="37" t="n">
        <f aca="false">SUMIFS('Raw Data'!$F$2:$F$114,'Raw Data'!$A$2:$A$114,$A29,'Raw Data'!$E$2:$E$114,"LEGO brick")</f>
        <v>0</v>
      </c>
      <c r="AB29" s="37" t="n">
        <f aca="false">SUMIFS('Raw Data'!$F$2:$F$114,'Raw Data'!$A$2:$A$114,$A29,'Raw Data'!$E$2:$E$114,"WD-40")</f>
        <v>0</v>
      </c>
      <c r="AC29" s="37" t="n">
        <f aca="false">SUMIFS('Raw Data'!$F$2:$F$114,'Raw Data'!$A$2:$A$114,$A29,'Raw Data'!$E$2:$E$114,"Creeper infinity cube")</f>
        <v>0</v>
      </c>
      <c r="AD29" s="37" t="n">
        <f aca="false">SUMIFS('Raw Data'!$F$2:$F$114,'Raw Data'!$A$2:$A$114,$A29,'Raw Data'!$E$2:$E$114,"Burger")</f>
        <v>0</v>
      </c>
      <c r="AE29" s="37" t="n">
        <f aca="false">SUMIFS('Raw Data'!$F$2:$F$114,'Raw Data'!$A$2:$A$114,$A29,'Raw Data'!$E$2:$E$114,"Full kit")</f>
        <v>0</v>
      </c>
      <c r="AF29" s="37" t="n">
        <f aca="false">SUMIFS('Raw Data'!$F$2:$F$114,'Raw Data'!$A$2:$A$114,$A29,'Raw Data'!$E$2:$E$114,"Kit w/ toroidal")</f>
        <v>0</v>
      </c>
    </row>
    <row r="30" customFormat="false" ht="15" hidden="false" customHeight="false" outlineLevel="0" collapsed="false">
      <c r="A30" s="17" t="s">
        <v>327</v>
      </c>
      <c r="B30" s="38" t="n">
        <v>46312.4692708333</v>
      </c>
      <c r="C30" s="38" t="n">
        <v>46312.4694791667</v>
      </c>
      <c r="D30" s="16" t="n">
        <f aca="false">(C30-B30)*86400</f>
        <v>18</v>
      </c>
      <c r="E30" s="17"/>
      <c r="F30" s="17"/>
      <c r="G30" s="16" t="n">
        <f aca="false">SUMIFS('Raw Data'!$G$2:$G$114,'Raw Data'!$A$2:$A$114,A30)</f>
        <v>4</v>
      </c>
      <c r="H30" s="16" t="n">
        <f aca="false">SUMIFS('Raw Data'!$F$2:$F$114,'Raw Data'!$A$2:$A$114,A30)</f>
        <v>1</v>
      </c>
      <c r="I30" s="16" t="n">
        <f aca="false">SUMIFS('Raw Data'!$K$2:$K$114,'Raw Data'!$A$2:$A$114,A30)</f>
        <v>0</v>
      </c>
      <c r="J30" s="16" t="n">
        <f aca="false">COUNTIF(Q30:AF30,"&gt;0")</f>
        <v>1</v>
      </c>
      <c r="K30" s="16" t="n">
        <f aca="false">COUNTIF(L30:P30,"&gt;0")</f>
        <v>1</v>
      </c>
      <c r="L30" s="37" t="n">
        <f aca="false">SUMIFS('Raw Data'!$F$2:$F$114,'Raw Data'!$A$2:$A$114,$A30,'Raw Data'!$L$2:$L$114,"Asian food")</f>
        <v>0</v>
      </c>
      <c r="M30" s="37" t="n">
        <f aca="false">SUMIFS('Raw Data'!$F$2:$F$114,'Raw Data'!$A$2:$A$114,$A30,'Raw Data'!$L$2:$L$114,"Snacks &amp; treats")</f>
        <v>1</v>
      </c>
      <c r="N30" s="37" t="n">
        <f aca="false">SUMIFS('Raw Data'!$F$2:$F$114,'Raw Data'!$A$2:$A$114,$A30,'Raw Data'!$L$2:$L$114,"Minecraft")</f>
        <v>0</v>
      </c>
      <c r="O30" s="37" t="n">
        <f aca="false">SUMIFS('Raw Data'!$F$2:$F$114,'Raw Data'!$A$2:$A$114,$A30,'Raw Data'!$L$2:$L$114,"Workshop")</f>
        <v>0</v>
      </c>
      <c r="P30" s="37" t="n">
        <f aca="false">SUMIFS('Raw Data'!$F$2:$F$114,'Raw Data'!$A$2:$A$114,$A30,'Raw Data'!$L$2:$L$114,"Copters")</f>
        <v>0</v>
      </c>
      <c r="Q30" s="37" t="n">
        <f aca="false">SUMIFS('Raw Data'!$F$2:$F$114,'Raw Data'!$A$2:$A$114,$A30,'Raw Data'!$E$2:$E$114,"Egg tart")</f>
        <v>0</v>
      </c>
      <c r="R30" s="37" t="n">
        <f aca="false">SUMIFS('Raw Data'!$F$2:$F$114,'Raw Data'!$A$2:$A$114,$A30,'Raw Data'!$E$2:$E$114,"Hot dog bun")</f>
        <v>0</v>
      </c>
      <c r="S30" s="37" t="n">
        <f aca="false">SUMIFS('Raw Data'!$F$2:$F$114,'Raw Data'!$A$2:$A$114,$A30,'Raw Data'!$E$2:$E$114,"S'mores")</f>
        <v>0</v>
      </c>
      <c r="T30" s="37" t="n">
        <f aca="false">SUMIFS('Raw Data'!$F$2:$F$114,'Raw Data'!$A$2:$A$114,$A30,'Raw Data'!$E$2:$E$114,"Chocolate bar")</f>
        <v>1</v>
      </c>
      <c r="U30" s="37" t="n">
        <f aca="false">SUMIFS('Raw Data'!$F$2:$F$114,'Raw Data'!$A$2:$A$114,$A30,'Raw Data'!$E$2:$E$114,"Avocado")</f>
        <v>0</v>
      </c>
      <c r="V30" s="37" t="n">
        <f aca="false">SUMIFS('Raw Data'!$F$2:$F$114,'Raw Data'!$A$2:$A$114,$A30,'Raw Data'!$E$2:$E$114,"Dumpling")</f>
        <v>0</v>
      </c>
      <c r="W30" s="37" t="n">
        <f aca="false">SUMIFS('Raw Data'!$F$2:$F$114,'Raw Data'!$A$2:$A$114,$A30,'Raw Data'!$E$2:$E$114,"Creeper")</f>
        <v>0</v>
      </c>
      <c r="X30" s="37" t="n">
        <f aca="false">SUMIFS('Raw Data'!$F$2:$F$114,'Raw Data'!$A$2:$A$114,$A30,'Raw Data'!$E$2:$E$114,"Oreo")</f>
        <v>0</v>
      </c>
      <c r="Y30" s="37" t="n">
        <f aca="false">SUMIFS('Raw Data'!$F$2:$F$114,'Raw Data'!$A$2:$A$114,$A30,'Raw Data'!$E$2:$E$114,"Spam musubi")</f>
        <v>0</v>
      </c>
      <c r="Z30" s="37" t="n">
        <f aca="false">SUMIFS('Raw Data'!$F$2:$F$114,'Raw Data'!$A$2:$A$114,$A30,'Raw Data'!$E$2:$E$114,"Salmon nigiri")</f>
        <v>0</v>
      </c>
      <c r="AA30" s="37" t="n">
        <f aca="false">SUMIFS('Raw Data'!$F$2:$F$114,'Raw Data'!$A$2:$A$114,$A30,'Raw Data'!$E$2:$E$114,"LEGO brick")</f>
        <v>0</v>
      </c>
      <c r="AB30" s="37" t="n">
        <f aca="false">SUMIFS('Raw Data'!$F$2:$F$114,'Raw Data'!$A$2:$A$114,$A30,'Raw Data'!$E$2:$E$114,"WD-40")</f>
        <v>0</v>
      </c>
      <c r="AC30" s="37" t="n">
        <f aca="false">SUMIFS('Raw Data'!$F$2:$F$114,'Raw Data'!$A$2:$A$114,$A30,'Raw Data'!$E$2:$E$114,"Creeper infinity cube")</f>
        <v>0</v>
      </c>
      <c r="AD30" s="37" t="n">
        <f aca="false">SUMIFS('Raw Data'!$F$2:$F$114,'Raw Data'!$A$2:$A$114,$A30,'Raw Data'!$E$2:$E$114,"Burger")</f>
        <v>0</v>
      </c>
      <c r="AE30" s="37" t="n">
        <f aca="false">SUMIFS('Raw Data'!$F$2:$F$114,'Raw Data'!$A$2:$A$114,$A30,'Raw Data'!$E$2:$E$114,"Full kit")</f>
        <v>0</v>
      </c>
      <c r="AF30" s="37" t="n">
        <f aca="false">SUMIFS('Raw Data'!$F$2:$F$114,'Raw Data'!$A$2:$A$114,$A30,'Raw Data'!$E$2:$E$114,"Kit w/ toroidal")</f>
        <v>0</v>
      </c>
    </row>
    <row r="31" customFormat="false" ht="15" hidden="false" customHeight="false" outlineLevel="0" collapsed="false">
      <c r="A31" s="17" t="s">
        <v>328</v>
      </c>
      <c r="B31" s="38" t="n">
        <v>46312.4694907407</v>
      </c>
      <c r="C31" s="38" t="n">
        <v>46312.469525463</v>
      </c>
      <c r="D31" s="16" t="n">
        <f aca="false">(C31-B31)*86400</f>
        <v>3</v>
      </c>
      <c r="E31" s="17" t="s">
        <v>251</v>
      </c>
      <c r="F31" s="17" t="s">
        <v>255</v>
      </c>
      <c r="G31" s="16" t="n">
        <f aca="false">SUMIFS('Raw Data'!$G$2:$G$114,'Raw Data'!$A$2:$A$114,A31)</f>
        <v>4</v>
      </c>
      <c r="H31" s="16" t="n">
        <f aca="false">SUMIFS('Raw Data'!$F$2:$F$114,'Raw Data'!$A$2:$A$114,A31)</f>
        <v>1</v>
      </c>
      <c r="I31" s="16" t="n">
        <f aca="false">SUMIFS('Raw Data'!$K$2:$K$114,'Raw Data'!$A$2:$A$114,A31)</f>
        <v>0</v>
      </c>
      <c r="J31" s="16" t="n">
        <f aca="false">COUNTIF(Q31:AF31,"&gt;0")</f>
        <v>1</v>
      </c>
      <c r="K31" s="16" t="n">
        <f aca="false">COUNTIF(L31:P31,"&gt;0")</f>
        <v>1</v>
      </c>
      <c r="L31" s="37" t="n">
        <f aca="false">SUMIFS('Raw Data'!$F$2:$F$114,'Raw Data'!$A$2:$A$114,$A31,'Raw Data'!$L$2:$L$114,"Asian food")</f>
        <v>0</v>
      </c>
      <c r="M31" s="37" t="n">
        <f aca="false">SUMIFS('Raw Data'!$F$2:$F$114,'Raw Data'!$A$2:$A$114,$A31,'Raw Data'!$L$2:$L$114,"Snacks &amp; treats")</f>
        <v>0</v>
      </c>
      <c r="N31" s="37" t="n">
        <f aca="false">SUMIFS('Raw Data'!$F$2:$F$114,'Raw Data'!$A$2:$A$114,$A31,'Raw Data'!$L$2:$L$114,"Minecraft")</f>
        <v>1</v>
      </c>
      <c r="O31" s="37" t="n">
        <f aca="false">SUMIFS('Raw Data'!$F$2:$F$114,'Raw Data'!$A$2:$A$114,$A31,'Raw Data'!$L$2:$L$114,"Workshop")</f>
        <v>0</v>
      </c>
      <c r="P31" s="37" t="n">
        <f aca="false">SUMIFS('Raw Data'!$F$2:$F$114,'Raw Data'!$A$2:$A$114,$A31,'Raw Data'!$L$2:$L$114,"Copters")</f>
        <v>0</v>
      </c>
      <c r="Q31" s="37" t="n">
        <f aca="false">SUMIFS('Raw Data'!$F$2:$F$114,'Raw Data'!$A$2:$A$114,$A31,'Raw Data'!$E$2:$E$114,"Egg tart")</f>
        <v>0</v>
      </c>
      <c r="R31" s="37" t="n">
        <f aca="false">SUMIFS('Raw Data'!$F$2:$F$114,'Raw Data'!$A$2:$A$114,$A31,'Raw Data'!$E$2:$E$114,"Hot dog bun")</f>
        <v>0</v>
      </c>
      <c r="S31" s="37" t="n">
        <f aca="false">SUMIFS('Raw Data'!$F$2:$F$114,'Raw Data'!$A$2:$A$114,$A31,'Raw Data'!$E$2:$E$114,"S'mores")</f>
        <v>0</v>
      </c>
      <c r="T31" s="37" t="n">
        <f aca="false">SUMIFS('Raw Data'!$F$2:$F$114,'Raw Data'!$A$2:$A$114,$A31,'Raw Data'!$E$2:$E$114,"Chocolate bar")</f>
        <v>0</v>
      </c>
      <c r="U31" s="37" t="n">
        <f aca="false">SUMIFS('Raw Data'!$F$2:$F$114,'Raw Data'!$A$2:$A$114,$A31,'Raw Data'!$E$2:$E$114,"Avocado")</f>
        <v>0</v>
      </c>
      <c r="V31" s="37" t="n">
        <f aca="false">SUMIFS('Raw Data'!$F$2:$F$114,'Raw Data'!$A$2:$A$114,$A31,'Raw Data'!$E$2:$E$114,"Dumpling")</f>
        <v>0</v>
      </c>
      <c r="W31" s="37" t="n">
        <f aca="false">SUMIFS('Raw Data'!$F$2:$F$114,'Raw Data'!$A$2:$A$114,$A31,'Raw Data'!$E$2:$E$114,"Creeper")</f>
        <v>1</v>
      </c>
      <c r="X31" s="37" t="n">
        <f aca="false">SUMIFS('Raw Data'!$F$2:$F$114,'Raw Data'!$A$2:$A$114,$A31,'Raw Data'!$E$2:$E$114,"Oreo")</f>
        <v>0</v>
      </c>
      <c r="Y31" s="37" t="n">
        <f aca="false">SUMIFS('Raw Data'!$F$2:$F$114,'Raw Data'!$A$2:$A$114,$A31,'Raw Data'!$E$2:$E$114,"Spam musubi")</f>
        <v>0</v>
      </c>
      <c r="Z31" s="37" t="n">
        <f aca="false">SUMIFS('Raw Data'!$F$2:$F$114,'Raw Data'!$A$2:$A$114,$A31,'Raw Data'!$E$2:$E$114,"Salmon nigiri")</f>
        <v>0</v>
      </c>
      <c r="AA31" s="37" t="n">
        <f aca="false">SUMIFS('Raw Data'!$F$2:$F$114,'Raw Data'!$A$2:$A$114,$A31,'Raw Data'!$E$2:$E$114,"LEGO brick")</f>
        <v>0</v>
      </c>
      <c r="AB31" s="37" t="n">
        <f aca="false">SUMIFS('Raw Data'!$F$2:$F$114,'Raw Data'!$A$2:$A$114,$A31,'Raw Data'!$E$2:$E$114,"WD-40")</f>
        <v>0</v>
      </c>
      <c r="AC31" s="37" t="n">
        <f aca="false">SUMIFS('Raw Data'!$F$2:$F$114,'Raw Data'!$A$2:$A$114,$A31,'Raw Data'!$E$2:$E$114,"Creeper infinity cube")</f>
        <v>0</v>
      </c>
      <c r="AD31" s="37" t="n">
        <f aca="false">SUMIFS('Raw Data'!$F$2:$F$114,'Raw Data'!$A$2:$A$114,$A31,'Raw Data'!$E$2:$E$114,"Burger")</f>
        <v>0</v>
      </c>
      <c r="AE31" s="37" t="n">
        <f aca="false">SUMIFS('Raw Data'!$F$2:$F$114,'Raw Data'!$A$2:$A$114,$A31,'Raw Data'!$E$2:$E$114,"Full kit")</f>
        <v>0</v>
      </c>
      <c r="AF31" s="37" t="n">
        <f aca="false">SUMIFS('Raw Data'!$F$2:$F$114,'Raw Data'!$A$2:$A$114,$A31,'Raw Data'!$E$2:$E$114,"Kit w/ toroidal")</f>
        <v>0</v>
      </c>
    </row>
    <row r="32" customFormat="false" ht="15" hidden="false" customHeight="false" outlineLevel="0" collapsed="false">
      <c r="A32" s="17" t="s">
        <v>329</v>
      </c>
      <c r="B32" s="38" t="n">
        <v>46312.4699305556</v>
      </c>
      <c r="C32" s="38" t="n">
        <v>46312.4699537037</v>
      </c>
      <c r="D32" s="16" t="n">
        <f aca="false">(C32-B32)*86400</f>
        <v>2</v>
      </c>
      <c r="E32" s="17"/>
      <c r="F32" s="17"/>
      <c r="G32" s="16" t="n">
        <f aca="false">SUMIFS('Raw Data'!$G$2:$G$114,'Raw Data'!$A$2:$A$114,A32)</f>
        <v>4</v>
      </c>
      <c r="H32" s="16" t="n">
        <f aca="false">SUMIFS('Raw Data'!$F$2:$F$114,'Raw Data'!$A$2:$A$114,A32)</f>
        <v>1</v>
      </c>
      <c r="I32" s="16" t="n">
        <f aca="false">SUMIFS('Raw Data'!$K$2:$K$114,'Raw Data'!$A$2:$A$114,A32)</f>
        <v>0</v>
      </c>
      <c r="J32" s="16" t="n">
        <f aca="false">COUNTIF(Q32:AF32,"&gt;0")</f>
        <v>1</v>
      </c>
      <c r="K32" s="16" t="n">
        <f aca="false">COUNTIF(L32:P32,"&gt;0")</f>
        <v>1</v>
      </c>
      <c r="L32" s="37" t="n">
        <f aca="false">SUMIFS('Raw Data'!$F$2:$F$114,'Raw Data'!$A$2:$A$114,$A32,'Raw Data'!$L$2:$L$114,"Asian food")</f>
        <v>0</v>
      </c>
      <c r="M32" s="37" t="n">
        <f aca="false">SUMIFS('Raw Data'!$F$2:$F$114,'Raw Data'!$A$2:$A$114,$A32,'Raw Data'!$L$2:$L$114,"Snacks &amp; treats")</f>
        <v>1</v>
      </c>
      <c r="N32" s="37" t="n">
        <f aca="false">SUMIFS('Raw Data'!$F$2:$F$114,'Raw Data'!$A$2:$A$114,$A32,'Raw Data'!$L$2:$L$114,"Minecraft")</f>
        <v>0</v>
      </c>
      <c r="O32" s="37" t="n">
        <f aca="false">SUMIFS('Raw Data'!$F$2:$F$114,'Raw Data'!$A$2:$A$114,$A32,'Raw Data'!$L$2:$L$114,"Workshop")</f>
        <v>0</v>
      </c>
      <c r="P32" s="37" t="n">
        <f aca="false">SUMIFS('Raw Data'!$F$2:$F$114,'Raw Data'!$A$2:$A$114,$A32,'Raw Data'!$L$2:$L$114,"Copters")</f>
        <v>0</v>
      </c>
      <c r="Q32" s="37" t="n">
        <f aca="false">SUMIFS('Raw Data'!$F$2:$F$114,'Raw Data'!$A$2:$A$114,$A32,'Raw Data'!$E$2:$E$114,"Egg tart")</f>
        <v>0</v>
      </c>
      <c r="R32" s="37" t="n">
        <f aca="false">SUMIFS('Raw Data'!$F$2:$F$114,'Raw Data'!$A$2:$A$114,$A32,'Raw Data'!$E$2:$E$114,"Hot dog bun")</f>
        <v>0</v>
      </c>
      <c r="S32" s="37" t="n">
        <f aca="false">SUMIFS('Raw Data'!$F$2:$F$114,'Raw Data'!$A$2:$A$114,$A32,'Raw Data'!$E$2:$E$114,"S'mores")</f>
        <v>0</v>
      </c>
      <c r="T32" s="37" t="n">
        <f aca="false">SUMIFS('Raw Data'!$F$2:$F$114,'Raw Data'!$A$2:$A$114,$A32,'Raw Data'!$E$2:$E$114,"Chocolate bar")</f>
        <v>1</v>
      </c>
      <c r="U32" s="37" t="n">
        <f aca="false">SUMIFS('Raw Data'!$F$2:$F$114,'Raw Data'!$A$2:$A$114,$A32,'Raw Data'!$E$2:$E$114,"Avocado")</f>
        <v>0</v>
      </c>
      <c r="V32" s="37" t="n">
        <f aca="false">SUMIFS('Raw Data'!$F$2:$F$114,'Raw Data'!$A$2:$A$114,$A32,'Raw Data'!$E$2:$E$114,"Dumpling")</f>
        <v>0</v>
      </c>
      <c r="W32" s="37" t="n">
        <f aca="false">SUMIFS('Raw Data'!$F$2:$F$114,'Raw Data'!$A$2:$A$114,$A32,'Raw Data'!$E$2:$E$114,"Creeper")</f>
        <v>0</v>
      </c>
      <c r="X32" s="37" t="n">
        <f aca="false">SUMIFS('Raw Data'!$F$2:$F$114,'Raw Data'!$A$2:$A$114,$A32,'Raw Data'!$E$2:$E$114,"Oreo")</f>
        <v>0</v>
      </c>
      <c r="Y32" s="37" t="n">
        <f aca="false">SUMIFS('Raw Data'!$F$2:$F$114,'Raw Data'!$A$2:$A$114,$A32,'Raw Data'!$E$2:$E$114,"Spam musubi")</f>
        <v>0</v>
      </c>
      <c r="Z32" s="37" t="n">
        <f aca="false">SUMIFS('Raw Data'!$F$2:$F$114,'Raw Data'!$A$2:$A$114,$A32,'Raw Data'!$E$2:$E$114,"Salmon nigiri")</f>
        <v>0</v>
      </c>
      <c r="AA32" s="37" t="n">
        <f aca="false">SUMIFS('Raw Data'!$F$2:$F$114,'Raw Data'!$A$2:$A$114,$A32,'Raw Data'!$E$2:$E$114,"LEGO brick")</f>
        <v>0</v>
      </c>
      <c r="AB32" s="37" t="n">
        <f aca="false">SUMIFS('Raw Data'!$F$2:$F$114,'Raw Data'!$A$2:$A$114,$A32,'Raw Data'!$E$2:$E$114,"WD-40")</f>
        <v>0</v>
      </c>
      <c r="AC32" s="37" t="n">
        <f aca="false">SUMIFS('Raw Data'!$F$2:$F$114,'Raw Data'!$A$2:$A$114,$A32,'Raw Data'!$E$2:$E$114,"Creeper infinity cube")</f>
        <v>0</v>
      </c>
      <c r="AD32" s="37" t="n">
        <f aca="false">SUMIFS('Raw Data'!$F$2:$F$114,'Raw Data'!$A$2:$A$114,$A32,'Raw Data'!$E$2:$E$114,"Burger")</f>
        <v>0</v>
      </c>
      <c r="AE32" s="37" t="n">
        <f aca="false">SUMIFS('Raw Data'!$F$2:$F$114,'Raw Data'!$A$2:$A$114,$A32,'Raw Data'!$E$2:$E$114,"Full kit")</f>
        <v>0</v>
      </c>
      <c r="AF32" s="37" t="n">
        <f aca="false">SUMIFS('Raw Data'!$F$2:$F$114,'Raw Data'!$A$2:$A$114,$A32,'Raw Data'!$E$2:$E$114,"Kit w/ toroidal")</f>
        <v>0</v>
      </c>
    </row>
    <row r="33" customFormat="false" ht="15" hidden="false" customHeight="false" outlineLevel="0" collapsed="false">
      <c r="A33" s="17" t="s">
        <v>330</v>
      </c>
      <c r="B33" s="38" t="n">
        <v>46312.4702314815</v>
      </c>
      <c r="C33" s="38" t="n">
        <v>46312.4702546296</v>
      </c>
      <c r="D33" s="16" t="n">
        <f aca="false">(C33-B33)*86400</f>
        <v>2</v>
      </c>
      <c r="E33" s="17" t="s">
        <v>251</v>
      </c>
      <c r="F33" s="17" t="s">
        <v>256</v>
      </c>
      <c r="G33" s="16" t="n">
        <f aca="false">SUMIFS('Raw Data'!$G$2:$G$114,'Raw Data'!$A$2:$A$114,A33)</f>
        <v>4</v>
      </c>
      <c r="H33" s="16" t="n">
        <f aca="false">SUMIFS('Raw Data'!$F$2:$F$114,'Raw Data'!$A$2:$A$114,A33)</f>
        <v>1</v>
      </c>
      <c r="I33" s="16" t="n">
        <f aca="false">SUMIFS('Raw Data'!$K$2:$K$114,'Raw Data'!$A$2:$A$114,A33)</f>
        <v>0</v>
      </c>
      <c r="J33" s="16" t="n">
        <f aca="false">COUNTIF(Q33:AF33,"&gt;0")</f>
        <v>1</v>
      </c>
      <c r="K33" s="16" t="n">
        <f aca="false">COUNTIF(L33:P33,"&gt;0")</f>
        <v>1</v>
      </c>
      <c r="L33" s="37" t="n">
        <f aca="false">SUMIFS('Raw Data'!$F$2:$F$114,'Raw Data'!$A$2:$A$114,$A33,'Raw Data'!$L$2:$L$114,"Asian food")</f>
        <v>1</v>
      </c>
      <c r="M33" s="37" t="n">
        <f aca="false">SUMIFS('Raw Data'!$F$2:$F$114,'Raw Data'!$A$2:$A$114,$A33,'Raw Data'!$L$2:$L$114,"Snacks &amp; treats")</f>
        <v>0</v>
      </c>
      <c r="N33" s="37" t="n">
        <f aca="false">SUMIFS('Raw Data'!$F$2:$F$114,'Raw Data'!$A$2:$A$114,$A33,'Raw Data'!$L$2:$L$114,"Minecraft")</f>
        <v>0</v>
      </c>
      <c r="O33" s="37" t="n">
        <f aca="false">SUMIFS('Raw Data'!$F$2:$F$114,'Raw Data'!$A$2:$A$114,$A33,'Raw Data'!$L$2:$L$114,"Workshop")</f>
        <v>0</v>
      </c>
      <c r="P33" s="37" t="n">
        <f aca="false">SUMIFS('Raw Data'!$F$2:$F$114,'Raw Data'!$A$2:$A$114,$A33,'Raw Data'!$L$2:$L$114,"Copters")</f>
        <v>0</v>
      </c>
      <c r="Q33" s="37" t="n">
        <f aca="false">SUMIFS('Raw Data'!$F$2:$F$114,'Raw Data'!$A$2:$A$114,$A33,'Raw Data'!$E$2:$E$114,"Egg tart")</f>
        <v>0</v>
      </c>
      <c r="R33" s="37" t="n">
        <f aca="false">SUMIFS('Raw Data'!$F$2:$F$114,'Raw Data'!$A$2:$A$114,$A33,'Raw Data'!$E$2:$E$114,"Hot dog bun")</f>
        <v>0</v>
      </c>
      <c r="S33" s="37" t="n">
        <f aca="false">SUMIFS('Raw Data'!$F$2:$F$114,'Raw Data'!$A$2:$A$114,$A33,'Raw Data'!$E$2:$E$114,"S'mores")</f>
        <v>0</v>
      </c>
      <c r="T33" s="37" t="n">
        <f aca="false">SUMIFS('Raw Data'!$F$2:$F$114,'Raw Data'!$A$2:$A$114,$A33,'Raw Data'!$E$2:$E$114,"Chocolate bar")</f>
        <v>0</v>
      </c>
      <c r="U33" s="37" t="n">
        <f aca="false">SUMIFS('Raw Data'!$F$2:$F$114,'Raw Data'!$A$2:$A$114,$A33,'Raw Data'!$E$2:$E$114,"Avocado")</f>
        <v>0</v>
      </c>
      <c r="V33" s="37" t="n">
        <f aca="false">SUMIFS('Raw Data'!$F$2:$F$114,'Raw Data'!$A$2:$A$114,$A33,'Raw Data'!$E$2:$E$114,"Dumpling")</f>
        <v>0</v>
      </c>
      <c r="W33" s="37" t="n">
        <f aca="false">SUMIFS('Raw Data'!$F$2:$F$114,'Raw Data'!$A$2:$A$114,$A33,'Raw Data'!$E$2:$E$114,"Creeper")</f>
        <v>0</v>
      </c>
      <c r="X33" s="37" t="n">
        <f aca="false">SUMIFS('Raw Data'!$F$2:$F$114,'Raw Data'!$A$2:$A$114,$A33,'Raw Data'!$E$2:$E$114,"Oreo")</f>
        <v>0</v>
      </c>
      <c r="Y33" s="37" t="n">
        <f aca="false">SUMIFS('Raw Data'!$F$2:$F$114,'Raw Data'!$A$2:$A$114,$A33,'Raw Data'!$E$2:$E$114,"Spam musubi")</f>
        <v>0</v>
      </c>
      <c r="Z33" s="37" t="n">
        <f aca="false">SUMIFS('Raw Data'!$F$2:$F$114,'Raw Data'!$A$2:$A$114,$A33,'Raw Data'!$E$2:$E$114,"Salmon nigiri")</f>
        <v>1</v>
      </c>
      <c r="AA33" s="37" t="n">
        <f aca="false">SUMIFS('Raw Data'!$F$2:$F$114,'Raw Data'!$A$2:$A$114,$A33,'Raw Data'!$E$2:$E$114,"LEGO brick")</f>
        <v>0</v>
      </c>
      <c r="AB33" s="37" t="n">
        <f aca="false">SUMIFS('Raw Data'!$F$2:$F$114,'Raw Data'!$A$2:$A$114,$A33,'Raw Data'!$E$2:$E$114,"WD-40")</f>
        <v>0</v>
      </c>
      <c r="AC33" s="37" t="n">
        <f aca="false">SUMIFS('Raw Data'!$F$2:$F$114,'Raw Data'!$A$2:$A$114,$A33,'Raw Data'!$E$2:$E$114,"Creeper infinity cube")</f>
        <v>0</v>
      </c>
      <c r="AD33" s="37" t="n">
        <f aca="false">SUMIFS('Raw Data'!$F$2:$F$114,'Raw Data'!$A$2:$A$114,$A33,'Raw Data'!$E$2:$E$114,"Burger")</f>
        <v>0</v>
      </c>
      <c r="AE33" s="37" t="n">
        <f aca="false">SUMIFS('Raw Data'!$F$2:$F$114,'Raw Data'!$A$2:$A$114,$A33,'Raw Data'!$E$2:$E$114,"Full kit")</f>
        <v>0</v>
      </c>
      <c r="AF33" s="37" t="n">
        <f aca="false">SUMIFS('Raw Data'!$F$2:$F$114,'Raw Data'!$A$2:$A$114,$A33,'Raw Data'!$E$2:$E$114,"Kit w/ toroidal")</f>
        <v>0</v>
      </c>
    </row>
    <row r="34" customFormat="false" ht="15" hidden="false" customHeight="false" outlineLevel="0" collapsed="false">
      <c r="A34" s="17" t="s">
        <v>331</v>
      </c>
      <c r="B34" s="38" t="n">
        <v>46312.4719791667</v>
      </c>
      <c r="C34" s="38" t="n">
        <v>46312.4720023148</v>
      </c>
      <c r="D34" s="16" t="n">
        <f aca="false">(C34-B34)*86400</f>
        <v>2.000001096</v>
      </c>
      <c r="E34" s="17"/>
      <c r="F34" s="17"/>
      <c r="G34" s="16" t="n">
        <f aca="false">SUMIFS('Raw Data'!$G$2:$G$114,'Raw Data'!$A$2:$A$114,A34)</f>
        <v>7</v>
      </c>
      <c r="H34" s="16" t="n">
        <f aca="false">SUMIFS('Raw Data'!$F$2:$F$114,'Raw Data'!$A$2:$A$114,A34)</f>
        <v>2</v>
      </c>
      <c r="I34" s="16" t="n">
        <f aca="false">SUMIFS('Raw Data'!$K$2:$K$114,'Raw Data'!$A$2:$A$114,A34)</f>
        <v>0</v>
      </c>
      <c r="J34" s="16" t="n">
        <f aca="false">COUNTIF(Q34:AF34,"&gt;0")</f>
        <v>2</v>
      </c>
      <c r="K34" s="16" t="n">
        <f aca="false">COUNTIF(L34:P34,"&gt;0")</f>
        <v>1</v>
      </c>
      <c r="L34" s="37" t="n">
        <f aca="false">SUMIFS('Raw Data'!$F$2:$F$114,'Raw Data'!$A$2:$A$114,$A34,'Raw Data'!$L$2:$L$114,"Asian food")</f>
        <v>0</v>
      </c>
      <c r="M34" s="37" t="n">
        <f aca="false">SUMIFS('Raw Data'!$F$2:$F$114,'Raw Data'!$A$2:$A$114,$A34,'Raw Data'!$L$2:$L$114,"Snacks &amp; treats")</f>
        <v>2</v>
      </c>
      <c r="N34" s="37" t="n">
        <f aca="false">SUMIFS('Raw Data'!$F$2:$F$114,'Raw Data'!$A$2:$A$114,$A34,'Raw Data'!$L$2:$L$114,"Minecraft")</f>
        <v>0</v>
      </c>
      <c r="O34" s="37" t="n">
        <f aca="false">SUMIFS('Raw Data'!$F$2:$F$114,'Raw Data'!$A$2:$A$114,$A34,'Raw Data'!$L$2:$L$114,"Workshop")</f>
        <v>0</v>
      </c>
      <c r="P34" s="37" t="n">
        <f aca="false">SUMIFS('Raw Data'!$F$2:$F$114,'Raw Data'!$A$2:$A$114,$A34,'Raw Data'!$L$2:$L$114,"Copters")</f>
        <v>0</v>
      </c>
      <c r="Q34" s="37" t="n">
        <f aca="false">SUMIFS('Raw Data'!$F$2:$F$114,'Raw Data'!$A$2:$A$114,$A34,'Raw Data'!$E$2:$E$114,"Egg tart")</f>
        <v>0</v>
      </c>
      <c r="R34" s="37" t="n">
        <f aca="false">SUMIFS('Raw Data'!$F$2:$F$114,'Raw Data'!$A$2:$A$114,$A34,'Raw Data'!$E$2:$E$114,"Hot dog bun")</f>
        <v>1</v>
      </c>
      <c r="S34" s="37" t="n">
        <f aca="false">SUMIFS('Raw Data'!$F$2:$F$114,'Raw Data'!$A$2:$A$114,$A34,'Raw Data'!$E$2:$E$114,"S'mores")</f>
        <v>0</v>
      </c>
      <c r="T34" s="37" t="n">
        <f aca="false">SUMIFS('Raw Data'!$F$2:$F$114,'Raw Data'!$A$2:$A$114,$A34,'Raw Data'!$E$2:$E$114,"Chocolate bar")</f>
        <v>1</v>
      </c>
      <c r="U34" s="37" t="n">
        <f aca="false">SUMIFS('Raw Data'!$F$2:$F$114,'Raw Data'!$A$2:$A$114,$A34,'Raw Data'!$E$2:$E$114,"Avocado")</f>
        <v>0</v>
      </c>
      <c r="V34" s="37" t="n">
        <f aca="false">SUMIFS('Raw Data'!$F$2:$F$114,'Raw Data'!$A$2:$A$114,$A34,'Raw Data'!$E$2:$E$114,"Dumpling")</f>
        <v>0</v>
      </c>
      <c r="W34" s="37" t="n">
        <f aca="false">SUMIFS('Raw Data'!$F$2:$F$114,'Raw Data'!$A$2:$A$114,$A34,'Raw Data'!$E$2:$E$114,"Creeper")</f>
        <v>0</v>
      </c>
      <c r="X34" s="37" t="n">
        <f aca="false">SUMIFS('Raw Data'!$F$2:$F$114,'Raw Data'!$A$2:$A$114,$A34,'Raw Data'!$E$2:$E$114,"Oreo")</f>
        <v>0</v>
      </c>
      <c r="Y34" s="37" t="n">
        <f aca="false">SUMIFS('Raw Data'!$F$2:$F$114,'Raw Data'!$A$2:$A$114,$A34,'Raw Data'!$E$2:$E$114,"Spam musubi")</f>
        <v>0</v>
      </c>
      <c r="Z34" s="37" t="n">
        <f aca="false">SUMIFS('Raw Data'!$F$2:$F$114,'Raw Data'!$A$2:$A$114,$A34,'Raw Data'!$E$2:$E$114,"Salmon nigiri")</f>
        <v>0</v>
      </c>
      <c r="AA34" s="37" t="n">
        <f aca="false">SUMIFS('Raw Data'!$F$2:$F$114,'Raw Data'!$A$2:$A$114,$A34,'Raw Data'!$E$2:$E$114,"LEGO brick")</f>
        <v>0</v>
      </c>
      <c r="AB34" s="37" t="n">
        <f aca="false">SUMIFS('Raw Data'!$F$2:$F$114,'Raw Data'!$A$2:$A$114,$A34,'Raw Data'!$E$2:$E$114,"WD-40")</f>
        <v>0</v>
      </c>
      <c r="AC34" s="37" t="n">
        <f aca="false">SUMIFS('Raw Data'!$F$2:$F$114,'Raw Data'!$A$2:$A$114,$A34,'Raw Data'!$E$2:$E$114,"Creeper infinity cube")</f>
        <v>0</v>
      </c>
      <c r="AD34" s="37" t="n">
        <f aca="false">SUMIFS('Raw Data'!$F$2:$F$114,'Raw Data'!$A$2:$A$114,$A34,'Raw Data'!$E$2:$E$114,"Burger")</f>
        <v>0</v>
      </c>
      <c r="AE34" s="37" t="n">
        <f aca="false">SUMIFS('Raw Data'!$F$2:$F$114,'Raw Data'!$A$2:$A$114,$A34,'Raw Data'!$E$2:$E$114,"Full kit")</f>
        <v>0</v>
      </c>
      <c r="AF34" s="37" t="n">
        <f aca="false">SUMIFS('Raw Data'!$F$2:$F$114,'Raw Data'!$A$2:$A$114,$A34,'Raw Data'!$E$2:$E$114,"Kit w/ toroidal")</f>
        <v>0</v>
      </c>
    </row>
    <row r="35" customFormat="false" ht="15" hidden="false" customHeight="false" outlineLevel="0" collapsed="false">
      <c r="A35" s="17" t="s">
        <v>332</v>
      </c>
      <c r="B35" s="38" t="n">
        <v>46312.4721296296</v>
      </c>
      <c r="C35" s="38" t="n">
        <v>46312.4721412037</v>
      </c>
      <c r="D35" s="16" t="n">
        <f aca="false">(C35-B35)*86400</f>
        <v>1</v>
      </c>
      <c r="E35" s="17"/>
      <c r="F35" s="17"/>
      <c r="G35" s="16" t="n">
        <f aca="false">SUMIFS('Raw Data'!$G$2:$G$114,'Raw Data'!$A$2:$A$114,A35)</f>
        <v>4</v>
      </c>
      <c r="H35" s="16" t="n">
        <f aca="false">SUMIFS('Raw Data'!$F$2:$F$114,'Raw Data'!$A$2:$A$114,A35)</f>
        <v>1</v>
      </c>
      <c r="I35" s="16" t="n">
        <f aca="false">SUMIFS('Raw Data'!$K$2:$K$114,'Raw Data'!$A$2:$A$114,A35)</f>
        <v>0</v>
      </c>
      <c r="J35" s="16" t="n">
        <f aca="false">COUNTIF(Q35:AF35,"&gt;0")</f>
        <v>1</v>
      </c>
      <c r="K35" s="16" t="n">
        <f aca="false">COUNTIF(L35:P35,"&gt;0")</f>
        <v>1</v>
      </c>
      <c r="L35" s="37" t="n">
        <f aca="false">SUMIFS('Raw Data'!$F$2:$F$114,'Raw Data'!$A$2:$A$114,$A35,'Raw Data'!$L$2:$L$114,"Asian food")</f>
        <v>0</v>
      </c>
      <c r="M35" s="37" t="n">
        <f aca="false">SUMIFS('Raw Data'!$F$2:$F$114,'Raw Data'!$A$2:$A$114,$A35,'Raw Data'!$L$2:$L$114,"Snacks &amp; treats")</f>
        <v>1</v>
      </c>
      <c r="N35" s="37" t="n">
        <f aca="false">SUMIFS('Raw Data'!$F$2:$F$114,'Raw Data'!$A$2:$A$114,$A35,'Raw Data'!$L$2:$L$114,"Minecraft")</f>
        <v>0</v>
      </c>
      <c r="O35" s="37" t="n">
        <f aca="false">SUMIFS('Raw Data'!$F$2:$F$114,'Raw Data'!$A$2:$A$114,$A35,'Raw Data'!$L$2:$L$114,"Workshop")</f>
        <v>0</v>
      </c>
      <c r="P35" s="37" t="n">
        <f aca="false">SUMIFS('Raw Data'!$F$2:$F$114,'Raw Data'!$A$2:$A$114,$A35,'Raw Data'!$L$2:$L$114,"Copters")</f>
        <v>0</v>
      </c>
      <c r="Q35" s="37" t="n">
        <f aca="false">SUMIFS('Raw Data'!$F$2:$F$114,'Raw Data'!$A$2:$A$114,$A35,'Raw Data'!$E$2:$E$114,"Egg tart")</f>
        <v>0</v>
      </c>
      <c r="R35" s="37" t="n">
        <f aca="false">SUMIFS('Raw Data'!$F$2:$F$114,'Raw Data'!$A$2:$A$114,$A35,'Raw Data'!$E$2:$E$114,"Hot dog bun")</f>
        <v>0</v>
      </c>
      <c r="S35" s="37" t="n">
        <f aca="false">SUMIFS('Raw Data'!$F$2:$F$114,'Raw Data'!$A$2:$A$114,$A35,'Raw Data'!$E$2:$E$114,"S'mores")</f>
        <v>0</v>
      </c>
      <c r="T35" s="37" t="n">
        <f aca="false">SUMIFS('Raw Data'!$F$2:$F$114,'Raw Data'!$A$2:$A$114,$A35,'Raw Data'!$E$2:$E$114,"Chocolate bar")</f>
        <v>1</v>
      </c>
      <c r="U35" s="37" t="n">
        <f aca="false">SUMIFS('Raw Data'!$F$2:$F$114,'Raw Data'!$A$2:$A$114,$A35,'Raw Data'!$E$2:$E$114,"Avocado")</f>
        <v>0</v>
      </c>
      <c r="V35" s="37" t="n">
        <f aca="false">SUMIFS('Raw Data'!$F$2:$F$114,'Raw Data'!$A$2:$A$114,$A35,'Raw Data'!$E$2:$E$114,"Dumpling")</f>
        <v>0</v>
      </c>
      <c r="W35" s="37" t="n">
        <f aca="false">SUMIFS('Raw Data'!$F$2:$F$114,'Raw Data'!$A$2:$A$114,$A35,'Raw Data'!$E$2:$E$114,"Creeper")</f>
        <v>0</v>
      </c>
      <c r="X35" s="37" t="n">
        <f aca="false">SUMIFS('Raw Data'!$F$2:$F$114,'Raw Data'!$A$2:$A$114,$A35,'Raw Data'!$E$2:$E$114,"Oreo")</f>
        <v>0</v>
      </c>
      <c r="Y35" s="37" t="n">
        <f aca="false">SUMIFS('Raw Data'!$F$2:$F$114,'Raw Data'!$A$2:$A$114,$A35,'Raw Data'!$E$2:$E$114,"Spam musubi")</f>
        <v>0</v>
      </c>
      <c r="Z35" s="37" t="n">
        <f aca="false">SUMIFS('Raw Data'!$F$2:$F$114,'Raw Data'!$A$2:$A$114,$A35,'Raw Data'!$E$2:$E$114,"Salmon nigiri")</f>
        <v>0</v>
      </c>
      <c r="AA35" s="37" t="n">
        <f aca="false">SUMIFS('Raw Data'!$F$2:$F$114,'Raw Data'!$A$2:$A$114,$A35,'Raw Data'!$E$2:$E$114,"LEGO brick")</f>
        <v>0</v>
      </c>
      <c r="AB35" s="37" t="n">
        <f aca="false">SUMIFS('Raw Data'!$F$2:$F$114,'Raw Data'!$A$2:$A$114,$A35,'Raw Data'!$E$2:$E$114,"WD-40")</f>
        <v>0</v>
      </c>
      <c r="AC35" s="37" t="n">
        <f aca="false">SUMIFS('Raw Data'!$F$2:$F$114,'Raw Data'!$A$2:$A$114,$A35,'Raw Data'!$E$2:$E$114,"Creeper infinity cube")</f>
        <v>0</v>
      </c>
      <c r="AD35" s="37" t="n">
        <f aca="false">SUMIFS('Raw Data'!$F$2:$F$114,'Raw Data'!$A$2:$A$114,$A35,'Raw Data'!$E$2:$E$114,"Burger")</f>
        <v>0</v>
      </c>
      <c r="AE35" s="37" t="n">
        <f aca="false">SUMIFS('Raw Data'!$F$2:$F$114,'Raw Data'!$A$2:$A$114,$A35,'Raw Data'!$E$2:$E$114,"Full kit")</f>
        <v>0</v>
      </c>
      <c r="AF35" s="37" t="n">
        <f aca="false">SUMIFS('Raw Data'!$F$2:$F$114,'Raw Data'!$A$2:$A$114,$A35,'Raw Data'!$E$2:$E$114,"Kit w/ toroidal")</f>
        <v>0</v>
      </c>
    </row>
    <row r="36" customFormat="false" ht="15" hidden="false" customHeight="false" outlineLevel="0" collapsed="false">
      <c r="A36" s="17" t="s">
        <v>333</v>
      </c>
      <c r="B36" s="38" t="n">
        <v>46312.4730208333</v>
      </c>
      <c r="C36" s="38" t="n">
        <v>46312.4730324074</v>
      </c>
      <c r="D36" s="16" t="n">
        <f aca="false">(C36-B36)*86400</f>
        <v>1</v>
      </c>
      <c r="E36" s="17"/>
      <c r="F36" s="17"/>
      <c r="G36" s="16" t="n">
        <f aca="false">SUMIFS('Raw Data'!$G$2:$G$114,'Raw Data'!$A$2:$A$114,A36)</f>
        <v>4</v>
      </c>
      <c r="H36" s="16" t="n">
        <f aca="false">SUMIFS('Raw Data'!$F$2:$F$114,'Raw Data'!$A$2:$A$114,A36)</f>
        <v>1</v>
      </c>
      <c r="I36" s="16" t="n">
        <f aca="false">SUMIFS('Raw Data'!$K$2:$K$114,'Raw Data'!$A$2:$A$114,A36)</f>
        <v>0</v>
      </c>
      <c r="J36" s="16" t="n">
        <f aca="false">COUNTIF(Q36:AF36,"&gt;0")</f>
        <v>1</v>
      </c>
      <c r="K36" s="16" t="n">
        <f aca="false">COUNTIF(L36:P36,"&gt;0")</f>
        <v>1</v>
      </c>
      <c r="L36" s="37" t="n">
        <f aca="false">SUMIFS('Raw Data'!$F$2:$F$114,'Raw Data'!$A$2:$A$114,$A36,'Raw Data'!$L$2:$L$114,"Asian food")</f>
        <v>0</v>
      </c>
      <c r="M36" s="37" t="n">
        <f aca="false">SUMIFS('Raw Data'!$F$2:$F$114,'Raw Data'!$A$2:$A$114,$A36,'Raw Data'!$L$2:$L$114,"Snacks &amp; treats")</f>
        <v>1</v>
      </c>
      <c r="N36" s="37" t="n">
        <f aca="false">SUMIFS('Raw Data'!$F$2:$F$114,'Raw Data'!$A$2:$A$114,$A36,'Raw Data'!$L$2:$L$114,"Minecraft")</f>
        <v>0</v>
      </c>
      <c r="O36" s="37" t="n">
        <f aca="false">SUMIFS('Raw Data'!$F$2:$F$114,'Raw Data'!$A$2:$A$114,$A36,'Raw Data'!$L$2:$L$114,"Workshop")</f>
        <v>0</v>
      </c>
      <c r="P36" s="37" t="n">
        <f aca="false">SUMIFS('Raw Data'!$F$2:$F$114,'Raw Data'!$A$2:$A$114,$A36,'Raw Data'!$L$2:$L$114,"Copters")</f>
        <v>0</v>
      </c>
      <c r="Q36" s="37" t="n">
        <f aca="false">SUMIFS('Raw Data'!$F$2:$F$114,'Raw Data'!$A$2:$A$114,$A36,'Raw Data'!$E$2:$E$114,"Egg tart")</f>
        <v>0</v>
      </c>
      <c r="R36" s="37" t="n">
        <f aca="false">SUMIFS('Raw Data'!$F$2:$F$114,'Raw Data'!$A$2:$A$114,$A36,'Raw Data'!$E$2:$E$114,"Hot dog bun")</f>
        <v>0</v>
      </c>
      <c r="S36" s="37" t="n">
        <f aca="false">SUMIFS('Raw Data'!$F$2:$F$114,'Raw Data'!$A$2:$A$114,$A36,'Raw Data'!$E$2:$E$114,"S'mores")</f>
        <v>1</v>
      </c>
      <c r="T36" s="37" t="n">
        <f aca="false">SUMIFS('Raw Data'!$F$2:$F$114,'Raw Data'!$A$2:$A$114,$A36,'Raw Data'!$E$2:$E$114,"Chocolate bar")</f>
        <v>0</v>
      </c>
      <c r="U36" s="37" t="n">
        <f aca="false">SUMIFS('Raw Data'!$F$2:$F$114,'Raw Data'!$A$2:$A$114,$A36,'Raw Data'!$E$2:$E$114,"Avocado")</f>
        <v>0</v>
      </c>
      <c r="V36" s="37" t="n">
        <f aca="false">SUMIFS('Raw Data'!$F$2:$F$114,'Raw Data'!$A$2:$A$114,$A36,'Raw Data'!$E$2:$E$114,"Dumpling")</f>
        <v>0</v>
      </c>
      <c r="W36" s="37" t="n">
        <f aca="false">SUMIFS('Raw Data'!$F$2:$F$114,'Raw Data'!$A$2:$A$114,$A36,'Raw Data'!$E$2:$E$114,"Creeper")</f>
        <v>0</v>
      </c>
      <c r="X36" s="37" t="n">
        <f aca="false">SUMIFS('Raw Data'!$F$2:$F$114,'Raw Data'!$A$2:$A$114,$A36,'Raw Data'!$E$2:$E$114,"Oreo")</f>
        <v>0</v>
      </c>
      <c r="Y36" s="37" t="n">
        <f aca="false">SUMIFS('Raw Data'!$F$2:$F$114,'Raw Data'!$A$2:$A$114,$A36,'Raw Data'!$E$2:$E$114,"Spam musubi")</f>
        <v>0</v>
      </c>
      <c r="Z36" s="37" t="n">
        <f aca="false">SUMIFS('Raw Data'!$F$2:$F$114,'Raw Data'!$A$2:$A$114,$A36,'Raw Data'!$E$2:$E$114,"Salmon nigiri")</f>
        <v>0</v>
      </c>
      <c r="AA36" s="37" t="n">
        <f aca="false">SUMIFS('Raw Data'!$F$2:$F$114,'Raw Data'!$A$2:$A$114,$A36,'Raw Data'!$E$2:$E$114,"LEGO brick")</f>
        <v>0</v>
      </c>
      <c r="AB36" s="37" t="n">
        <f aca="false">SUMIFS('Raw Data'!$F$2:$F$114,'Raw Data'!$A$2:$A$114,$A36,'Raw Data'!$E$2:$E$114,"WD-40")</f>
        <v>0</v>
      </c>
      <c r="AC36" s="37" t="n">
        <f aca="false">SUMIFS('Raw Data'!$F$2:$F$114,'Raw Data'!$A$2:$A$114,$A36,'Raw Data'!$E$2:$E$114,"Creeper infinity cube")</f>
        <v>0</v>
      </c>
      <c r="AD36" s="37" t="n">
        <f aca="false">SUMIFS('Raw Data'!$F$2:$F$114,'Raw Data'!$A$2:$A$114,$A36,'Raw Data'!$E$2:$E$114,"Burger")</f>
        <v>0</v>
      </c>
      <c r="AE36" s="37" t="n">
        <f aca="false">SUMIFS('Raw Data'!$F$2:$F$114,'Raw Data'!$A$2:$A$114,$A36,'Raw Data'!$E$2:$E$114,"Full kit")</f>
        <v>0</v>
      </c>
      <c r="AF36" s="37" t="n">
        <f aca="false">SUMIFS('Raw Data'!$F$2:$F$114,'Raw Data'!$A$2:$A$114,$A36,'Raw Data'!$E$2:$E$114,"Kit w/ toroidal")</f>
        <v>0</v>
      </c>
    </row>
    <row r="37" customFormat="false" ht="15" hidden="false" customHeight="false" outlineLevel="0" collapsed="false">
      <c r="A37" s="17" t="s">
        <v>334</v>
      </c>
      <c r="B37" s="38" t="n">
        <v>46312.4733217593</v>
      </c>
      <c r="C37" s="38" t="n">
        <v>46312.4733796296</v>
      </c>
      <c r="D37" s="16" t="n">
        <f aca="false">(C37-B37)*86400</f>
        <v>5</v>
      </c>
      <c r="E37" s="17" t="s">
        <v>252</v>
      </c>
      <c r="F37" s="17" t="s">
        <v>255</v>
      </c>
      <c r="G37" s="16" t="n">
        <f aca="false">SUMIFS('Raw Data'!$G$2:$G$114,'Raw Data'!$A$2:$A$114,A37)</f>
        <v>4</v>
      </c>
      <c r="H37" s="16" t="n">
        <f aca="false">SUMIFS('Raw Data'!$F$2:$F$114,'Raw Data'!$A$2:$A$114,A37)</f>
        <v>1</v>
      </c>
      <c r="I37" s="16" t="n">
        <f aca="false">SUMIFS('Raw Data'!$K$2:$K$114,'Raw Data'!$A$2:$A$114,A37)</f>
        <v>0</v>
      </c>
      <c r="J37" s="16" t="n">
        <f aca="false">COUNTIF(Q37:AF37,"&gt;0")</f>
        <v>1</v>
      </c>
      <c r="K37" s="16" t="n">
        <f aca="false">COUNTIF(L37:P37,"&gt;0")</f>
        <v>1</v>
      </c>
      <c r="L37" s="37" t="n">
        <f aca="false">SUMIFS('Raw Data'!$F$2:$F$114,'Raw Data'!$A$2:$A$114,$A37,'Raw Data'!$L$2:$L$114,"Asian food")</f>
        <v>0</v>
      </c>
      <c r="M37" s="37" t="n">
        <f aca="false">SUMIFS('Raw Data'!$F$2:$F$114,'Raw Data'!$A$2:$A$114,$A37,'Raw Data'!$L$2:$L$114,"Snacks &amp; treats")</f>
        <v>0</v>
      </c>
      <c r="N37" s="37" t="n">
        <f aca="false">SUMIFS('Raw Data'!$F$2:$F$114,'Raw Data'!$A$2:$A$114,$A37,'Raw Data'!$L$2:$L$114,"Minecraft")</f>
        <v>1</v>
      </c>
      <c r="O37" s="37" t="n">
        <f aca="false">SUMIFS('Raw Data'!$F$2:$F$114,'Raw Data'!$A$2:$A$114,$A37,'Raw Data'!$L$2:$L$114,"Workshop")</f>
        <v>0</v>
      </c>
      <c r="P37" s="37" t="n">
        <f aca="false">SUMIFS('Raw Data'!$F$2:$F$114,'Raw Data'!$A$2:$A$114,$A37,'Raw Data'!$L$2:$L$114,"Copters")</f>
        <v>0</v>
      </c>
      <c r="Q37" s="37" t="n">
        <f aca="false">SUMIFS('Raw Data'!$F$2:$F$114,'Raw Data'!$A$2:$A$114,$A37,'Raw Data'!$E$2:$E$114,"Egg tart")</f>
        <v>0</v>
      </c>
      <c r="R37" s="37" t="n">
        <f aca="false">SUMIFS('Raw Data'!$F$2:$F$114,'Raw Data'!$A$2:$A$114,$A37,'Raw Data'!$E$2:$E$114,"Hot dog bun")</f>
        <v>0</v>
      </c>
      <c r="S37" s="37" t="n">
        <f aca="false">SUMIFS('Raw Data'!$F$2:$F$114,'Raw Data'!$A$2:$A$114,$A37,'Raw Data'!$E$2:$E$114,"S'mores")</f>
        <v>0</v>
      </c>
      <c r="T37" s="37" t="n">
        <f aca="false">SUMIFS('Raw Data'!$F$2:$F$114,'Raw Data'!$A$2:$A$114,$A37,'Raw Data'!$E$2:$E$114,"Chocolate bar")</f>
        <v>0</v>
      </c>
      <c r="U37" s="37" t="n">
        <f aca="false">SUMIFS('Raw Data'!$F$2:$F$114,'Raw Data'!$A$2:$A$114,$A37,'Raw Data'!$E$2:$E$114,"Avocado")</f>
        <v>0</v>
      </c>
      <c r="V37" s="37" t="n">
        <f aca="false">SUMIFS('Raw Data'!$F$2:$F$114,'Raw Data'!$A$2:$A$114,$A37,'Raw Data'!$E$2:$E$114,"Dumpling")</f>
        <v>0</v>
      </c>
      <c r="W37" s="37" t="n">
        <f aca="false">SUMIFS('Raw Data'!$F$2:$F$114,'Raw Data'!$A$2:$A$114,$A37,'Raw Data'!$E$2:$E$114,"Creeper")</f>
        <v>1</v>
      </c>
      <c r="X37" s="37" t="n">
        <f aca="false">SUMIFS('Raw Data'!$F$2:$F$114,'Raw Data'!$A$2:$A$114,$A37,'Raw Data'!$E$2:$E$114,"Oreo")</f>
        <v>0</v>
      </c>
      <c r="Y37" s="37" t="n">
        <f aca="false">SUMIFS('Raw Data'!$F$2:$F$114,'Raw Data'!$A$2:$A$114,$A37,'Raw Data'!$E$2:$E$114,"Spam musubi")</f>
        <v>0</v>
      </c>
      <c r="Z37" s="37" t="n">
        <f aca="false">SUMIFS('Raw Data'!$F$2:$F$114,'Raw Data'!$A$2:$A$114,$A37,'Raw Data'!$E$2:$E$114,"Salmon nigiri")</f>
        <v>0</v>
      </c>
      <c r="AA37" s="37" t="n">
        <f aca="false">SUMIFS('Raw Data'!$F$2:$F$114,'Raw Data'!$A$2:$A$114,$A37,'Raw Data'!$E$2:$E$114,"LEGO brick")</f>
        <v>0</v>
      </c>
      <c r="AB37" s="37" t="n">
        <f aca="false">SUMIFS('Raw Data'!$F$2:$F$114,'Raw Data'!$A$2:$A$114,$A37,'Raw Data'!$E$2:$E$114,"WD-40")</f>
        <v>0</v>
      </c>
      <c r="AC37" s="37" t="n">
        <f aca="false">SUMIFS('Raw Data'!$F$2:$F$114,'Raw Data'!$A$2:$A$114,$A37,'Raw Data'!$E$2:$E$114,"Creeper infinity cube")</f>
        <v>0</v>
      </c>
      <c r="AD37" s="37" t="n">
        <f aca="false">SUMIFS('Raw Data'!$F$2:$F$114,'Raw Data'!$A$2:$A$114,$A37,'Raw Data'!$E$2:$E$114,"Burger")</f>
        <v>0</v>
      </c>
      <c r="AE37" s="37" t="n">
        <f aca="false">SUMIFS('Raw Data'!$F$2:$F$114,'Raw Data'!$A$2:$A$114,$A37,'Raw Data'!$E$2:$E$114,"Full kit")</f>
        <v>0</v>
      </c>
      <c r="AF37" s="37" t="n">
        <f aca="false">SUMIFS('Raw Data'!$F$2:$F$114,'Raw Data'!$A$2:$A$114,$A37,'Raw Data'!$E$2:$E$114,"Kit w/ toroidal")</f>
        <v>0</v>
      </c>
    </row>
    <row r="38" customFormat="false" ht="15" hidden="false" customHeight="false" outlineLevel="0" collapsed="false">
      <c r="A38" s="17" t="s">
        <v>335</v>
      </c>
      <c r="B38" s="38" t="n">
        <v>46312.4738425926</v>
      </c>
      <c r="C38" s="38" t="n">
        <v>46312.4738657407</v>
      </c>
      <c r="D38" s="16" t="n">
        <f aca="false">(C38-B38)*86400</f>
        <v>2</v>
      </c>
      <c r="E38" s="17"/>
      <c r="F38" s="17"/>
      <c r="G38" s="16" t="n">
        <f aca="false">SUMIFS('Raw Data'!$G$2:$G$114,'Raw Data'!$A$2:$A$114,A38)</f>
        <v>4</v>
      </c>
      <c r="H38" s="16" t="n">
        <f aca="false">SUMIFS('Raw Data'!$F$2:$F$114,'Raw Data'!$A$2:$A$114,A38)</f>
        <v>1</v>
      </c>
      <c r="I38" s="16" t="n">
        <f aca="false">SUMIFS('Raw Data'!$K$2:$K$114,'Raw Data'!$A$2:$A$114,A38)</f>
        <v>0</v>
      </c>
      <c r="J38" s="16" t="n">
        <f aca="false">COUNTIF(Q38:AF38,"&gt;0")</f>
        <v>1</v>
      </c>
      <c r="K38" s="16" t="n">
        <f aca="false">COUNTIF(L38:P38,"&gt;0")</f>
        <v>1</v>
      </c>
      <c r="L38" s="37" t="n">
        <f aca="false">SUMIFS('Raw Data'!$F$2:$F$114,'Raw Data'!$A$2:$A$114,$A38,'Raw Data'!$L$2:$L$114,"Asian food")</f>
        <v>0</v>
      </c>
      <c r="M38" s="37" t="n">
        <f aca="false">SUMIFS('Raw Data'!$F$2:$F$114,'Raw Data'!$A$2:$A$114,$A38,'Raw Data'!$L$2:$L$114,"Snacks &amp; treats")</f>
        <v>0</v>
      </c>
      <c r="N38" s="37" t="n">
        <f aca="false">SUMIFS('Raw Data'!$F$2:$F$114,'Raw Data'!$A$2:$A$114,$A38,'Raw Data'!$L$2:$L$114,"Minecraft")</f>
        <v>1</v>
      </c>
      <c r="O38" s="37" t="n">
        <f aca="false">SUMIFS('Raw Data'!$F$2:$F$114,'Raw Data'!$A$2:$A$114,$A38,'Raw Data'!$L$2:$L$114,"Workshop")</f>
        <v>0</v>
      </c>
      <c r="P38" s="37" t="n">
        <f aca="false">SUMIFS('Raw Data'!$F$2:$F$114,'Raw Data'!$A$2:$A$114,$A38,'Raw Data'!$L$2:$L$114,"Copters")</f>
        <v>0</v>
      </c>
      <c r="Q38" s="37" t="n">
        <f aca="false">SUMIFS('Raw Data'!$F$2:$F$114,'Raw Data'!$A$2:$A$114,$A38,'Raw Data'!$E$2:$E$114,"Egg tart")</f>
        <v>0</v>
      </c>
      <c r="R38" s="37" t="n">
        <f aca="false">SUMIFS('Raw Data'!$F$2:$F$114,'Raw Data'!$A$2:$A$114,$A38,'Raw Data'!$E$2:$E$114,"Hot dog bun")</f>
        <v>0</v>
      </c>
      <c r="S38" s="37" t="n">
        <f aca="false">SUMIFS('Raw Data'!$F$2:$F$114,'Raw Data'!$A$2:$A$114,$A38,'Raw Data'!$E$2:$E$114,"S'mores")</f>
        <v>0</v>
      </c>
      <c r="T38" s="37" t="n">
        <f aca="false">SUMIFS('Raw Data'!$F$2:$F$114,'Raw Data'!$A$2:$A$114,$A38,'Raw Data'!$E$2:$E$114,"Chocolate bar")</f>
        <v>0</v>
      </c>
      <c r="U38" s="37" t="n">
        <f aca="false">SUMIFS('Raw Data'!$F$2:$F$114,'Raw Data'!$A$2:$A$114,$A38,'Raw Data'!$E$2:$E$114,"Avocado")</f>
        <v>0</v>
      </c>
      <c r="V38" s="37" t="n">
        <f aca="false">SUMIFS('Raw Data'!$F$2:$F$114,'Raw Data'!$A$2:$A$114,$A38,'Raw Data'!$E$2:$E$114,"Dumpling")</f>
        <v>0</v>
      </c>
      <c r="W38" s="37" t="n">
        <f aca="false">SUMIFS('Raw Data'!$F$2:$F$114,'Raw Data'!$A$2:$A$114,$A38,'Raw Data'!$E$2:$E$114,"Creeper")</f>
        <v>1</v>
      </c>
      <c r="X38" s="37" t="n">
        <f aca="false">SUMIFS('Raw Data'!$F$2:$F$114,'Raw Data'!$A$2:$A$114,$A38,'Raw Data'!$E$2:$E$114,"Oreo")</f>
        <v>0</v>
      </c>
      <c r="Y38" s="37" t="n">
        <f aca="false">SUMIFS('Raw Data'!$F$2:$F$114,'Raw Data'!$A$2:$A$114,$A38,'Raw Data'!$E$2:$E$114,"Spam musubi")</f>
        <v>0</v>
      </c>
      <c r="Z38" s="37" t="n">
        <f aca="false">SUMIFS('Raw Data'!$F$2:$F$114,'Raw Data'!$A$2:$A$114,$A38,'Raw Data'!$E$2:$E$114,"Salmon nigiri")</f>
        <v>0</v>
      </c>
      <c r="AA38" s="37" t="n">
        <f aca="false">SUMIFS('Raw Data'!$F$2:$F$114,'Raw Data'!$A$2:$A$114,$A38,'Raw Data'!$E$2:$E$114,"LEGO brick")</f>
        <v>0</v>
      </c>
      <c r="AB38" s="37" t="n">
        <f aca="false">SUMIFS('Raw Data'!$F$2:$F$114,'Raw Data'!$A$2:$A$114,$A38,'Raw Data'!$E$2:$E$114,"WD-40")</f>
        <v>0</v>
      </c>
      <c r="AC38" s="37" t="n">
        <f aca="false">SUMIFS('Raw Data'!$F$2:$F$114,'Raw Data'!$A$2:$A$114,$A38,'Raw Data'!$E$2:$E$114,"Creeper infinity cube")</f>
        <v>0</v>
      </c>
      <c r="AD38" s="37" t="n">
        <f aca="false">SUMIFS('Raw Data'!$F$2:$F$114,'Raw Data'!$A$2:$A$114,$A38,'Raw Data'!$E$2:$E$114,"Burger")</f>
        <v>0</v>
      </c>
      <c r="AE38" s="37" t="n">
        <f aca="false">SUMIFS('Raw Data'!$F$2:$F$114,'Raw Data'!$A$2:$A$114,$A38,'Raw Data'!$E$2:$E$114,"Full kit")</f>
        <v>0</v>
      </c>
      <c r="AF38" s="37" t="n">
        <f aca="false">SUMIFS('Raw Data'!$F$2:$F$114,'Raw Data'!$A$2:$A$114,$A38,'Raw Data'!$E$2:$E$114,"Kit w/ toroidal")</f>
        <v>0</v>
      </c>
    </row>
    <row r="39" customFormat="false" ht="15" hidden="false" customHeight="false" outlineLevel="0" collapsed="false">
      <c r="A39" s="17" t="s">
        <v>336</v>
      </c>
      <c r="B39" s="38" t="n">
        <v>46312.4744675926</v>
      </c>
      <c r="C39" s="38" t="n">
        <v>46312.474525463</v>
      </c>
      <c r="D39" s="16" t="n">
        <f aca="false">(C39-B39)*86400</f>
        <v>5</v>
      </c>
      <c r="E39" s="17"/>
      <c r="F39" s="17"/>
      <c r="G39" s="16" t="n">
        <f aca="false">SUMIFS('Raw Data'!$G$2:$G$114,'Raw Data'!$A$2:$A$114,A39)</f>
        <v>10</v>
      </c>
      <c r="H39" s="16" t="n">
        <f aca="false">SUMIFS('Raw Data'!$F$2:$F$114,'Raw Data'!$A$2:$A$114,A39)</f>
        <v>3</v>
      </c>
      <c r="I39" s="16" t="n">
        <f aca="false">SUMIFS('Raw Data'!$K$2:$K$114,'Raw Data'!$A$2:$A$114,A39)</f>
        <v>1</v>
      </c>
      <c r="J39" s="16" t="n">
        <f aca="false">COUNTIF(Q39:AF39,"&gt;0")</f>
        <v>3</v>
      </c>
      <c r="K39" s="16" t="n">
        <f aca="false">COUNTIF(L39:P39,"&gt;0")</f>
        <v>2</v>
      </c>
      <c r="L39" s="37" t="n">
        <f aca="false">SUMIFS('Raw Data'!$F$2:$F$114,'Raw Data'!$A$2:$A$114,$A39,'Raw Data'!$L$2:$L$114,"Asian food")</f>
        <v>2</v>
      </c>
      <c r="M39" s="37" t="n">
        <f aca="false">SUMIFS('Raw Data'!$F$2:$F$114,'Raw Data'!$A$2:$A$114,$A39,'Raw Data'!$L$2:$L$114,"Snacks &amp; treats")</f>
        <v>1</v>
      </c>
      <c r="N39" s="37" t="n">
        <f aca="false">SUMIFS('Raw Data'!$F$2:$F$114,'Raw Data'!$A$2:$A$114,$A39,'Raw Data'!$L$2:$L$114,"Minecraft")</f>
        <v>0</v>
      </c>
      <c r="O39" s="37" t="n">
        <f aca="false">SUMIFS('Raw Data'!$F$2:$F$114,'Raw Data'!$A$2:$A$114,$A39,'Raw Data'!$L$2:$L$114,"Workshop")</f>
        <v>0</v>
      </c>
      <c r="P39" s="37" t="n">
        <f aca="false">SUMIFS('Raw Data'!$F$2:$F$114,'Raw Data'!$A$2:$A$114,$A39,'Raw Data'!$L$2:$L$114,"Copters")</f>
        <v>0</v>
      </c>
      <c r="Q39" s="37" t="n">
        <f aca="false">SUMIFS('Raw Data'!$F$2:$F$114,'Raw Data'!$A$2:$A$114,$A39,'Raw Data'!$E$2:$E$114,"Egg tart")</f>
        <v>0</v>
      </c>
      <c r="R39" s="37" t="n">
        <f aca="false">SUMIFS('Raw Data'!$F$2:$F$114,'Raw Data'!$A$2:$A$114,$A39,'Raw Data'!$E$2:$E$114,"Hot dog bun")</f>
        <v>0</v>
      </c>
      <c r="S39" s="37" t="n">
        <f aca="false">SUMIFS('Raw Data'!$F$2:$F$114,'Raw Data'!$A$2:$A$114,$A39,'Raw Data'!$E$2:$E$114,"S'mores")</f>
        <v>0</v>
      </c>
      <c r="T39" s="37" t="n">
        <f aca="false">SUMIFS('Raw Data'!$F$2:$F$114,'Raw Data'!$A$2:$A$114,$A39,'Raw Data'!$E$2:$E$114,"Chocolate bar")</f>
        <v>0</v>
      </c>
      <c r="U39" s="37" t="n">
        <f aca="false">SUMIFS('Raw Data'!$F$2:$F$114,'Raw Data'!$A$2:$A$114,$A39,'Raw Data'!$E$2:$E$114,"Avocado")</f>
        <v>1</v>
      </c>
      <c r="V39" s="37" t="n">
        <f aca="false">SUMIFS('Raw Data'!$F$2:$F$114,'Raw Data'!$A$2:$A$114,$A39,'Raw Data'!$E$2:$E$114,"Dumpling")</f>
        <v>1</v>
      </c>
      <c r="W39" s="37" t="n">
        <f aca="false">SUMIFS('Raw Data'!$F$2:$F$114,'Raw Data'!$A$2:$A$114,$A39,'Raw Data'!$E$2:$E$114,"Creeper")</f>
        <v>0</v>
      </c>
      <c r="X39" s="37" t="n">
        <f aca="false">SUMIFS('Raw Data'!$F$2:$F$114,'Raw Data'!$A$2:$A$114,$A39,'Raw Data'!$E$2:$E$114,"Oreo")</f>
        <v>0</v>
      </c>
      <c r="Y39" s="37" t="n">
        <f aca="false">SUMIFS('Raw Data'!$F$2:$F$114,'Raw Data'!$A$2:$A$114,$A39,'Raw Data'!$E$2:$E$114,"Spam musubi")</f>
        <v>0</v>
      </c>
      <c r="Z39" s="37" t="n">
        <f aca="false">SUMIFS('Raw Data'!$F$2:$F$114,'Raw Data'!$A$2:$A$114,$A39,'Raw Data'!$E$2:$E$114,"Salmon nigiri")</f>
        <v>1</v>
      </c>
      <c r="AA39" s="37" t="n">
        <f aca="false">SUMIFS('Raw Data'!$F$2:$F$114,'Raw Data'!$A$2:$A$114,$A39,'Raw Data'!$E$2:$E$114,"LEGO brick")</f>
        <v>0</v>
      </c>
      <c r="AB39" s="37" t="n">
        <f aca="false">SUMIFS('Raw Data'!$F$2:$F$114,'Raw Data'!$A$2:$A$114,$A39,'Raw Data'!$E$2:$E$114,"WD-40")</f>
        <v>0</v>
      </c>
      <c r="AC39" s="37" t="n">
        <f aca="false">SUMIFS('Raw Data'!$F$2:$F$114,'Raw Data'!$A$2:$A$114,$A39,'Raw Data'!$E$2:$E$114,"Creeper infinity cube")</f>
        <v>0</v>
      </c>
      <c r="AD39" s="37" t="n">
        <f aca="false">SUMIFS('Raw Data'!$F$2:$F$114,'Raw Data'!$A$2:$A$114,$A39,'Raw Data'!$E$2:$E$114,"Burger")</f>
        <v>0</v>
      </c>
      <c r="AE39" s="37" t="n">
        <f aca="false">SUMIFS('Raw Data'!$F$2:$F$114,'Raw Data'!$A$2:$A$114,$A39,'Raw Data'!$E$2:$E$114,"Full kit")</f>
        <v>0</v>
      </c>
      <c r="AF39" s="37" t="n">
        <f aca="false">SUMIFS('Raw Data'!$F$2:$F$114,'Raw Data'!$A$2:$A$114,$A39,'Raw Data'!$E$2:$E$114,"Kit w/ toroidal")</f>
        <v>0</v>
      </c>
    </row>
    <row r="40" customFormat="false" ht="15" hidden="false" customHeight="false" outlineLevel="0" collapsed="false">
      <c r="A40" s="17" t="s">
        <v>337</v>
      </c>
      <c r="B40" s="38" t="n">
        <v>46312.4759953704</v>
      </c>
      <c r="C40" s="38" t="n">
        <v>46312.476875</v>
      </c>
      <c r="D40" s="16" t="n">
        <f aca="false">(C40-B40)*86400</f>
        <v>76</v>
      </c>
      <c r="E40" s="17" t="s">
        <v>253</v>
      </c>
      <c r="F40" s="17" t="s">
        <v>255</v>
      </c>
      <c r="G40" s="16" t="n">
        <f aca="false">SUMIFS('Raw Data'!$G$2:$G$114,'Raw Data'!$A$2:$A$114,A40)</f>
        <v>7</v>
      </c>
      <c r="H40" s="16" t="n">
        <f aca="false">SUMIFS('Raw Data'!$F$2:$F$114,'Raw Data'!$A$2:$A$114,A40)</f>
        <v>2</v>
      </c>
      <c r="I40" s="16" t="n">
        <f aca="false">SUMIFS('Raw Data'!$K$2:$K$114,'Raw Data'!$A$2:$A$114,A40)</f>
        <v>0</v>
      </c>
      <c r="J40" s="16" t="n">
        <f aca="false">COUNTIF(Q40:AF40,"&gt;0")</f>
        <v>2</v>
      </c>
      <c r="K40" s="16" t="n">
        <f aca="false">COUNTIF(L40:P40,"&gt;0")</f>
        <v>2</v>
      </c>
      <c r="L40" s="37" t="n">
        <f aca="false">SUMIFS('Raw Data'!$F$2:$F$114,'Raw Data'!$A$2:$A$114,$A40,'Raw Data'!$L$2:$L$114,"Asian food")</f>
        <v>1</v>
      </c>
      <c r="M40" s="37" t="n">
        <f aca="false">SUMIFS('Raw Data'!$F$2:$F$114,'Raw Data'!$A$2:$A$114,$A40,'Raw Data'!$L$2:$L$114,"Snacks &amp; treats")</f>
        <v>0</v>
      </c>
      <c r="N40" s="37" t="n">
        <f aca="false">SUMIFS('Raw Data'!$F$2:$F$114,'Raw Data'!$A$2:$A$114,$A40,'Raw Data'!$L$2:$L$114,"Minecraft")</f>
        <v>1</v>
      </c>
      <c r="O40" s="37" t="n">
        <f aca="false">SUMIFS('Raw Data'!$F$2:$F$114,'Raw Data'!$A$2:$A$114,$A40,'Raw Data'!$L$2:$L$114,"Workshop")</f>
        <v>0</v>
      </c>
      <c r="P40" s="37" t="n">
        <f aca="false">SUMIFS('Raw Data'!$F$2:$F$114,'Raw Data'!$A$2:$A$114,$A40,'Raw Data'!$L$2:$L$114,"Copters")</f>
        <v>0</v>
      </c>
      <c r="Q40" s="37" t="n">
        <f aca="false">SUMIFS('Raw Data'!$F$2:$F$114,'Raw Data'!$A$2:$A$114,$A40,'Raw Data'!$E$2:$E$114,"Egg tart")</f>
        <v>0</v>
      </c>
      <c r="R40" s="37" t="n">
        <f aca="false">SUMIFS('Raw Data'!$F$2:$F$114,'Raw Data'!$A$2:$A$114,$A40,'Raw Data'!$E$2:$E$114,"Hot dog bun")</f>
        <v>0</v>
      </c>
      <c r="S40" s="37" t="n">
        <f aca="false">SUMIFS('Raw Data'!$F$2:$F$114,'Raw Data'!$A$2:$A$114,$A40,'Raw Data'!$E$2:$E$114,"S'mores")</f>
        <v>0</v>
      </c>
      <c r="T40" s="37" t="n">
        <f aca="false">SUMIFS('Raw Data'!$F$2:$F$114,'Raw Data'!$A$2:$A$114,$A40,'Raw Data'!$E$2:$E$114,"Chocolate bar")</f>
        <v>0</v>
      </c>
      <c r="U40" s="37" t="n">
        <f aca="false">SUMIFS('Raw Data'!$F$2:$F$114,'Raw Data'!$A$2:$A$114,$A40,'Raw Data'!$E$2:$E$114,"Avocado")</f>
        <v>0</v>
      </c>
      <c r="V40" s="37" t="n">
        <f aca="false">SUMIFS('Raw Data'!$F$2:$F$114,'Raw Data'!$A$2:$A$114,$A40,'Raw Data'!$E$2:$E$114,"Dumpling")</f>
        <v>1</v>
      </c>
      <c r="W40" s="37" t="n">
        <f aca="false">SUMIFS('Raw Data'!$F$2:$F$114,'Raw Data'!$A$2:$A$114,$A40,'Raw Data'!$E$2:$E$114,"Creeper")</f>
        <v>1</v>
      </c>
      <c r="X40" s="37" t="n">
        <f aca="false">SUMIFS('Raw Data'!$F$2:$F$114,'Raw Data'!$A$2:$A$114,$A40,'Raw Data'!$E$2:$E$114,"Oreo")</f>
        <v>0</v>
      </c>
      <c r="Y40" s="37" t="n">
        <f aca="false">SUMIFS('Raw Data'!$F$2:$F$114,'Raw Data'!$A$2:$A$114,$A40,'Raw Data'!$E$2:$E$114,"Spam musubi")</f>
        <v>0</v>
      </c>
      <c r="Z40" s="37" t="n">
        <f aca="false">SUMIFS('Raw Data'!$F$2:$F$114,'Raw Data'!$A$2:$A$114,$A40,'Raw Data'!$E$2:$E$114,"Salmon nigiri")</f>
        <v>0</v>
      </c>
      <c r="AA40" s="37" t="n">
        <f aca="false">SUMIFS('Raw Data'!$F$2:$F$114,'Raw Data'!$A$2:$A$114,$A40,'Raw Data'!$E$2:$E$114,"LEGO brick")</f>
        <v>0</v>
      </c>
      <c r="AB40" s="37" t="n">
        <f aca="false">SUMIFS('Raw Data'!$F$2:$F$114,'Raw Data'!$A$2:$A$114,$A40,'Raw Data'!$E$2:$E$114,"WD-40")</f>
        <v>0</v>
      </c>
      <c r="AC40" s="37" t="n">
        <f aca="false">SUMIFS('Raw Data'!$F$2:$F$114,'Raw Data'!$A$2:$A$114,$A40,'Raw Data'!$E$2:$E$114,"Creeper infinity cube")</f>
        <v>0</v>
      </c>
      <c r="AD40" s="37" t="n">
        <f aca="false">SUMIFS('Raw Data'!$F$2:$F$114,'Raw Data'!$A$2:$A$114,$A40,'Raw Data'!$E$2:$E$114,"Burger")</f>
        <v>0</v>
      </c>
      <c r="AE40" s="37" t="n">
        <f aca="false">SUMIFS('Raw Data'!$F$2:$F$114,'Raw Data'!$A$2:$A$114,$A40,'Raw Data'!$E$2:$E$114,"Full kit")</f>
        <v>0</v>
      </c>
      <c r="AF40" s="37" t="n">
        <f aca="false">SUMIFS('Raw Data'!$F$2:$F$114,'Raw Data'!$A$2:$A$114,$A40,'Raw Data'!$E$2:$E$114,"Kit w/ toroidal")</f>
        <v>0</v>
      </c>
    </row>
    <row r="41" customFormat="false" ht="15" hidden="false" customHeight="false" outlineLevel="0" collapsed="false">
      <c r="A41" s="17" t="s">
        <v>338</v>
      </c>
      <c r="B41" s="38" t="n">
        <v>46312.4805902778</v>
      </c>
      <c r="C41" s="38" t="n">
        <v>46312.4811226852</v>
      </c>
      <c r="D41" s="16" t="n">
        <f aca="false">(C41-B41)*86400</f>
        <v>46</v>
      </c>
      <c r="E41" s="17" t="s">
        <v>251</v>
      </c>
      <c r="F41" s="17" t="s">
        <v>256</v>
      </c>
      <c r="G41" s="16" t="n">
        <f aca="false">SUMIFS('Raw Data'!$G$2:$G$114,'Raw Data'!$A$2:$A$114,A41)</f>
        <v>10</v>
      </c>
      <c r="H41" s="16" t="n">
        <f aca="false">SUMIFS('Raw Data'!$F$2:$F$114,'Raw Data'!$A$2:$A$114,A41)</f>
        <v>3</v>
      </c>
      <c r="I41" s="16" t="n">
        <f aca="false">SUMIFS('Raw Data'!$K$2:$K$114,'Raw Data'!$A$2:$A$114,A41)</f>
        <v>1</v>
      </c>
      <c r="J41" s="16" t="n">
        <f aca="false">COUNTIF(Q41:AF41,"&gt;0")</f>
        <v>3</v>
      </c>
      <c r="K41" s="16" t="n">
        <f aca="false">COUNTIF(L41:P41,"&gt;0")</f>
        <v>2</v>
      </c>
      <c r="L41" s="37" t="n">
        <f aca="false">SUMIFS('Raw Data'!$F$2:$F$114,'Raw Data'!$A$2:$A$114,$A41,'Raw Data'!$L$2:$L$114,"Asian food")</f>
        <v>0</v>
      </c>
      <c r="M41" s="37" t="n">
        <f aca="false">SUMIFS('Raw Data'!$F$2:$F$114,'Raw Data'!$A$2:$A$114,$A41,'Raw Data'!$L$2:$L$114,"Snacks &amp; treats")</f>
        <v>2</v>
      </c>
      <c r="N41" s="37" t="n">
        <f aca="false">SUMIFS('Raw Data'!$F$2:$F$114,'Raw Data'!$A$2:$A$114,$A41,'Raw Data'!$L$2:$L$114,"Minecraft")</f>
        <v>1</v>
      </c>
      <c r="O41" s="37" t="n">
        <f aca="false">SUMIFS('Raw Data'!$F$2:$F$114,'Raw Data'!$A$2:$A$114,$A41,'Raw Data'!$L$2:$L$114,"Workshop")</f>
        <v>0</v>
      </c>
      <c r="P41" s="37" t="n">
        <f aca="false">SUMIFS('Raw Data'!$F$2:$F$114,'Raw Data'!$A$2:$A$114,$A41,'Raw Data'!$L$2:$L$114,"Copters")</f>
        <v>0</v>
      </c>
      <c r="Q41" s="37" t="n">
        <f aca="false">SUMIFS('Raw Data'!$F$2:$F$114,'Raw Data'!$A$2:$A$114,$A41,'Raw Data'!$E$2:$E$114,"Egg tart")</f>
        <v>0</v>
      </c>
      <c r="R41" s="37" t="n">
        <f aca="false">SUMIFS('Raw Data'!$F$2:$F$114,'Raw Data'!$A$2:$A$114,$A41,'Raw Data'!$E$2:$E$114,"Hot dog bun")</f>
        <v>1</v>
      </c>
      <c r="S41" s="37" t="n">
        <f aca="false">SUMIFS('Raw Data'!$F$2:$F$114,'Raw Data'!$A$2:$A$114,$A41,'Raw Data'!$E$2:$E$114,"S'mores")</f>
        <v>0</v>
      </c>
      <c r="T41" s="37" t="n">
        <f aca="false">SUMIFS('Raw Data'!$F$2:$F$114,'Raw Data'!$A$2:$A$114,$A41,'Raw Data'!$E$2:$E$114,"Chocolate bar")</f>
        <v>1</v>
      </c>
      <c r="U41" s="37" t="n">
        <f aca="false">SUMIFS('Raw Data'!$F$2:$F$114,'Raw Data'!$A$2:$A$114,$A41,'Raw Data'!$E$2:$E$114,"Avocado")</f>
        <v>0</v>
      </c>
      <c r="V41" s="37" t="n">
        <f aca="false">SUMIFS('Raw Data'!$F$2:$F$114,'Raw Data'!$A$2:$A$114,$A41,'Raw Data'!$E$2:$E$114,"Dumpling")</f>
        <v>0</v>
      </c>
      <c r="W41" s="37" t="n">
        <f aca="false">SUMIFS('Raw Data'!$F$2:$F$114,'Raw Data'!$A$2:$A$114,$A41,'Raw Data'!$E$2:$E$114,"Creeper")</f>
        <v>1</v>
      </c>
      <c r="X41" s="37" t="n">
        <f aca="false">SUMIFS('Raw Data'!$F$2:$F$114,'Raw Data'!$A$2:$A$114,$A41,'Raw Data'!$E$2:$E$114,"Oreo")</f>
        <v>0</v>
      </c>
      <c r="Y41" s="37" t="n">
        <f aca="false">SUMIFS('Raw Data'!$F$2:$F$114,'Raw Data'!$A$2:$A$114,$A41,'Raw Data'!$E$2:$E$114,"Spam musubi")</f>
        <v>0</v>
      </c>
      <c r="Z41" s="37" t="n">
        <f aca="false">SUMIFS('Raw Data'!$F$2:$F$114,'Raw Data'!$A$2:$A$114,$A41,'Raw Data'!$E$2:$E$114,"Salmon nigiri")</f>
        <v>0</v>
      </c>
      <c r="AA41" s="37" t="n">
        <f aca="false">SUMIFS('Raw Data'!$F$2:$F$114,'Raw Data'!$A$2:$A$114,$A41,'Raw Data'!$E$2:$E$114,"LEGO brick")</f>
        <v>0</v>
      </c>
      <c r="AB41" s="37" t="n">
        <f aca="false">SUMIFS('Raw Data'!$F$2:$F$114,'Raw Data'!$A$2:$A$114,$A41,'Raw Data'!$E$2:$E$114,"WD-40")</f>
        <v>0</v>
      </c>
      <c r="AC41" s="37" t="n">
        <f aca="false">SUMIFS('Raw Data'!$F$2:$F$114,'Raw Data'!$A$2:$A$114,$A41,'Raw Data'!$E$2:$E$114,"Creeper infinity cube")</f>
        <v>0</v>
      </c>
      <c r="AD41" s="37" t="n">
        <f aca="false">SUMIFS('Raw Data'!$F$2:$F$114,'Raw Data'!$A$2:$A$114,$A41,'Raw Data'!$E$2:$E$114,"Burger")</f>
        <v>0</v>
      </c>
      <c r="AE41" s="37" t="n">
        <f aca="false">SUMIFS('Raw Data'!$F$2:$F$114,'Raw Data'!$A$2:$A$114,$A41,'Raw Data'!$E$2:$E$114,"Full kit")</f>
        <v>0</v>
      </c>
      <c r="AF41" s="37" t="n">
        <f aca="false">SUMIFS('Raw Data'!$F$2:$F$114,'Raw Data'!$A$2:$A$114,$A41,'Raw Data'!$E$2:$E$114,"Kit w/ toroidal")</f>
        <v>0</v>
      </c>
    </row>
    <row r="42" customFormat="false" ht="15" hidden="false" customHeight="false" outlineLevel="0" collapsed="false">
      <c r="A42" s="17" t="s">
        <v>339</v>
      </c>
      <c r="B42" s="38" t="n">
        <v>46312.4816666667</v>
      </c>
      <c r="C42" s="38" t="n">
        <v>46312.4818981482</v>
      </c>
      <c r="D42" s="16" t="n">
        <f aca="false">(C42-B42)*86400</f>
        <v>20</v>
      </c>
      <c r="E42" s="17" t="s">
        <v>251</v>
      </c>
      <c r="F42" s="17" t="s">
        <v>255</v>
      </c>
      <c r="G42" s="16" t="n">
        <f aca="false">SUMIFS('Raw Data'!$G$2:$G$114,'Raw Data'!$A$2:$A$114,A42)</f>
        <v>10</v>
      </c>
      <c r="H42" s="16" t="n">
        <f aca="false">SUMIFS('Raw Data'!$F$2:$F$114,'Raw Data'!$A$2:$A$114,A42)</f>
        <v>3</v>
      </c>
      <c r="I42" s="16" t="n">
        <f aca="false">SUMIFS('Raw Data'!$K$2:$K$114,'Raw Data'!$A$2:$A$114,A42)</f>
        <v>1</v>
      </c>
      <c r="J42" s="16" t="n">
        <f aca="false">COUNTIF(Q42:AF42,"&gt;0")</f>
        <v>2</v>
      </c>
      <c r="K42" s="16" t="n">
        <f aca="false">COUNTIF(L42:P42,"&gt;0")</f>
        <v>2</v>
      </c>
      <c r="L42" s="37" t="n">
        <f aca="false">SUMIFS('Raw Data'!$F$2:$F$114,'Raw Data'!$A$2:$A$114,$A42,'Raw Data'!$L$2:$L$114,"Asian food")</f>
        <v>1</v>
      </c>
      <c r="M42" s="37" t="n">
        <f aca="false">SUMIFS('Raw Data'!$F$2:$F$114,'Raw Data'!$A$2:$A$114,$A42,'Raw Data'!$L$2:$L$114,"Snacks &amp; treats")</f>
        <v>0</v>
      </c>
      <c r="N42" s="37" t="n">
        <f aca="false">SUMIFS('Raw Data'!$F$2:$F$114,'Raw Data'!$A$2:$A$114,$A42,'Raw Data'!$L$2:$L$114,"Minecraft")</f>
        <v>0</v>
      </c>
      <c r="O42" s="37" t="n">
        <f aca="false">SUMIFS('Raw Data'!$F$2:$F$114,'Raw Data'!$A$2:$A$114,$A42,'Raw Data'!$L$2:$L$114,"Workshop")</f>
        <v>2</v>
      </c>
      <c r="P42" s="37" t="n">
        <f aca="false">SUMIFS('Raw Data'!$F$2:$F$114,'Raw Data'!$A$2:$A$114,$A42,'Raw Data'!$L$2:$L$114,"Copters")</f>
        <v>0</v>
      </c>
      <c r="Q42" s="37" t="n">
        <f aca="false">SUMIFS('Raw Data'!$F$2:$F$114,'Raw Data'!$A$2:$A$114,$A42,'Raw Data'!$E$2:$E$114,"Egg tart")</f>
        <v>1</v>
      </c>
      <c r="R42" s="37" t="n">
        <f aca="false">SUMIFS('Raw Data'!$F$2:$F$114,'Raw Data'!$A$2:$A$114,$A42,'Raw Data'!$E$2:$E$114,"Hot dog bun")</f>
        <v>0</v>
      </c>
      <c r="S42" s="37" t="n">
        <f aca="false">SUMIFS('Raw Data'!$F$2:$F$114,'Raw Data'!$A$2:$A$114,$A42,'Raw Data'!$E$2:$E$114,"S'mores")</f>
        <v>0</v>
      </c>
      <c r="T42" s="37" t="n">
        <f aca="false">SUMIFS('Raw Data'!$F$2:$F$114,'Raw Data'!$A$2:$A$114,$A42,'Raw Data'!$E$2:$E$114,"Chocolate bar")</f>
        <v>0</v>
      </c>
      <c r="U42" s="37" t="n">
        <f aca="false">SUMIFS('Raw Data'!$F$2:$F$114,'Raw Data'!$A$2:$A$114,$A42,'Raw Data'!$E$2:$E$114,"Avocado")</f>
        <v>0</v>
      </c>
      <c r="V42" s="37" t="n">
        <f aca="false">SUMIFS('Raw Data'!$F$2:$F$114,'Raw Data'!$A$2:$A$114,$A42,'Raw Data'!$E$2:$E$114,"Dumpling")</f>
        <v>0</v>
      </c>
      <c r="W42" s="37" t="n">
        <f aca="false">SUMIFS('Raw Data'!$F$2:$F$114,'Raw Data'!$A$2:$A$114,$A42,'Raw Data'!$E$2:$E$114,"Creeper")</f>
        <v>0</v>
      </c>
      <c r="X42" s="37" t="n">
        <f aca="false">SUMIFS('Raw Data'!$F$2:$F$114,'Raw Data'!$A$2:$A$114,$A42,'Raw Data'!$E$2:$E$114,"Oreo")</f>
        <v>0</v>
      </c>
      <c r="Y42" s="37" t="n">
        <f aca="false">SUMIFS('Raw Data'!$F$2:$F$114,'Raw Data'!$A$2:$A$114,$A42,'Raw Data'!$E$2:$E$114,"Spam musubi")</f>
        <v>0</v>
      </c>
      <c r="Z42" s="37" t="n">
        <f aca="false">SUMIFS('Raw Data'!$F$2:$F$114,'Raw Data'!$A$2:$A$114,$A42,'Raw Data'!$E$2:$E$114,"Salmon nigiri")</f>
        <v>0</v>
      </c>
      <c r="AA42" s="37" t="n">
        <f aca="false">SUMIFS('Raw Data'!$F$2:$F$114,'Raw Data'!$A$2:$A$114,$A42,'Raw Data'!$E$2:$E$114,"LEGO brick")</f>
        <v>0</v>
      </c>
      <c r="AB42" s="37" t="n">
        <f aca="false">SUMIFS('Raw Data'!$F$2:$F$114,'Raw Data'!$A$2:$A$114,$A42,'Raw Data'!$E$2:$E$114,"WD-40")</f>
        <v>2</v>
      </c>
      <c r="AC42" s="37" t="n">
        <f aca="false">SUMIFS('Raw Data'!$F$2:$F$114,'Raw Data'!$A$2:$A$114,$A42,'Raw Data'!$E$2:$E$114,"Creeper infinity cube")</f>
        <v>0</v>
      </c>
      <c r="AD42" s="37" t="n">
        <f aca="false">SUMIFS('Raw Data'!$F$2:$F$114,'Raw Data'!$A$2:$A$114,$A42,'Raw Data'!$E$2:$E$114,"Burger")</f>
        <v>0</v>
      </c>
      <c r="AE42" s="37" t="n">
        <f aca="false">SUMIFS('Raw Data'!$F$2:$F$114,'Raw Data'!$A$2:$A$114,$A42,'Raw Data'!$E$2:$E$114,"Full kit")</f>
        <v>0</v>
      </c>
      <c r="AF42" s="37" t="n">
        <f aca="false">SUMIFS('Raw Data'!$F$2:$F$114,'Raw Data'!$A$2:$A$114,$A42,'Raw Data'!$E$2:$E$114,"Kit w/ toroidal")</f>
        <v>0</v>
      </c>
    </row>
    <row r="43" customFormat="false" ht="15" hidden="false" customHeight="false" outlineLevel="0" collapsed="false">
      <c r="A43" s="17" t="s">
        <v>340</v>
      </c>
      <c r="B43" s="38" t="n">
        <v>46312.4824652778</v>
      </c>
      <c r="C43" s="38" t="n">
        <v>46312.4832175926</v>
      </c>
      <c r="D43" s="16" t="n">
        <f aca="false">(C43-B43)*86400</f>
        <v>65</v>
      </c>
      <c r="E43" s="17" t="s">
        <v>251</v>
      </c>
      <c r="F43" s="17" t="s">
        <v>256</v>
      </c>
      <c r="G43" s="16" t="n">
        <f aca="false">SUMIFS('Raw Data'!$G$2:$G$114,'Raw Data'!$A$2:$A$114,A43)</f>
        <v>14</v>
      </c>
      <c r="H43" s="16" t="n">
        <f aca="false">SUMIFS('Raw Data'!$F$2:$F$114,'Raw Data'!$A$2:$A$114,A43)</f>
        <v>4</v>
      </c>
      <c r="I43" s="16" t="n">
        <f aca="false">SUMIFS('Raw Data'!$K$2:$K$114,'Raw Data'!$A$2:$A$114,A43)</f>
        <v>1</v>
      </c>
      <c r="J43" s="16" t="n">
        <f aca="false">COUNTIF(Q43:AF43,"&gt;0")</f>
        <v>3</v>
      </c>
      <c r="K43" s="16" t="n">
        <f aca="false">COUNTIF(L43:P43,"&gt;0")</f>
        <v>2</v>
      </c>
      <c r="L43" s="37" t="n">
        <f aca="false">SUMIFS('Raw Data'!$F$2:$F$114,'Raw Data'!$A$2:$A$114,$A43,'Raw Data'!$L$2:$L$114,"Asian food")</f>
        <v>3</v>
      </c>
      <c r="M43" s="37" t="n">
        <f aca="false">SUMIFS('Raw Data'!$F$2:$F$114,'Raw Data'!$A$2:$A$114,$A43,'Raw Data'!$L$2:$L$114,"Snacks &amp; treats")</f>
        <v>1</v>
      </c>
      <c r="N43" s="37" t="n">
        <f aca="false">SUMIFS('Raw Data'!$F$2:$F$114,'Raw Data'!$A$2:$A$114,$A43,'Raw Data'!$L$2:$L$114,"Minecraft")</f>
        <v>0</v>
      </c>
      <c r="O43" s="37" t="n">
        <f aca="false">SUMIFS('Raw Data'!$F$2:$F$114,'Raw Data'!$A$2:$A$114,$A43,'Raw Data'!$L$2:$L$114,"Workshop")</f>
        <v>0</v>
      </c>
      <c r="P43" s="37" t="n">
        <f aca="false">SUMIFS('Raw Data'!$F$2:$F$114,'Raw Data'!$A$2:$A$114,$A43,'Raw Data'!$L$2:$L$114,"Copters")</f>
        <v>0</v>
      </c>
      <c r="Q43" s="37" t="n">
        <f aca="false">SUMIFS('Raw Data'!$F$2:$F$114,'Raw Data'!$A$2:$A$114,$A43,'Raw Data'!$E$2:$E$114,"Egg tart")</f>
        <v>2</v>
      </c>
      <c r="R43" s="37" t="n">
        <f aca="false">SUMIFS('Raw Data'!$F$2:$F$114,'Raw Data'!$A$2:$A$114,$A43,'Raw Data'!$E$2:$E$114,"Hot dog bun")</f>
        <v>0</v>
      </c>
      <c r="S43" s="37" t="n">
        <f aca="false">SUMIFS('Raw Data'!$F$2:$F$114,'Raw Data'!$A$2:$A$114,$A43,'Raw Data'!$E$2:$E$114,"S'mores")</f>
        <v>0</v>
      </c>
      <c r="T43" s="37" t="n">
        <f aca="false">SUMIFS('Raw Data'!$F$2:$F$114,'Raw Data'!$A$2:$A$114,$A43,'Raw Data'!$E$2:$E$114,"Chocolate bar")</f>
        <v>0</v>
      </c>
      <c r="U43" s="37" t="n">
        <f aca="false">SUMIFS('Raw Data'!$F$2:$F$114,'Raw Data'!$A$2:$A$114,$A43,'Raw Data'!$E$2:$E$114,"Avocado")</f>
        <v>1</v>
      </c>
      <c r="V43" s="37" t="n">
        <f aca="false">SUMIFS('Raw Data'!$F$2:$F$114,'Raw Data'!$A$2:$A$114,$A43,'Raw Data'!$E$2:$E$114,"Dumpling")</f>
        <v>1</v>
      </c>
      <c r="W43" s="37" t="n">
        <f aca="false">SUMIFS('Raw Data'!$F$2:$F$114,'Raw Data'!$A$2:$A$114,$A43,'Raw Data'!$E$2:$E$114,"Creeper")</f>
        <v>0</v>
      </c>
      <c r="X43" s="37" t="n">
        <f aca="false">SUMIFS('Raw Data'!$F$2:$F$114,'Raw Data'!$A$2:$A$114,$A43,'Raw Data'!$E$2:$E$114,"Oreo")</f>
        <v>0</v>
      </c>
      <c r="Y43" s="37" t="n">
        <f aca="false">SUMIFS('Raw Data'!$F$2:$F$114,'Raw Data'!$A$2:$A$114,$A43,'Raw Data'!$E$2:$E$114,"Spam musubi")</f>
        <v>0</v>
      </c>
      <c r="Z43" s="37" t="n">
        <f aca="false">SUMIFS('Raw Data'!$F$2:$F$114,'Raw Data'!$A$2:$A$114,$A43,'Raw Data'!$E$2:$E$114,"Salmon nigiri")</f>
        <v>0</v>
      </c>
      <c r="AA43" s="37" t="n">
        <f aca="false">SUMIFS('Raw Data'!$F$2:$F$114,'Raw Data'!$A$2:$A$114,$A43,'Raw Data'!$E$2:$E$114,"LEGO brick")</f>
        <v>0</v>
      </c>
      <c r="AB43" s="37" t="n">
        <f aca="false">SUMIFS('Raw Data'!$F$2:$F$114,'Raw Data'!$A$2:$A$114,$A43,'Raw Data'!$E$2:$E$114,"WD-40")</f>
        <v>0</v>
      </c>
      <c r="AC43" s="37" t="n">
        <f aca="false">SUMIFS('Raw Data'!$F$2:$F$114,'Raw Data'!$A$2:$A$114,$A43,'Raw Data'!$E$2:$E$114,"Creeper infinity cube")</f>
        <v>0</v>
      </c>
      <c r="AD43" s="37" t="n">
        <f aca="false">SUMIFS('Raw Data'!$F$2:$F$114,'Raw Data'!$A$2:$A$114,$A43,'Raw Data'!$E$2:$E$114,"Burger")</f>
        <v>0</v>
      </c>
      <c r="AE43" s="37" t="n">
        <f aca="false">SUMIFS('Raw Data'!$F$2:$F$114,'Raw Data'!$A$2:$A$114,$A43,'Raw Data'!$E$2:$E$114,"Full kit")</f>
        <v>0</v>
      </c>
      <c r="AF43" s="37" t="n">
        <f aca="false">SUMIFS('Raw Data'!$F$2:$F$114,'Raw Data'!$A$2:$A$114,$A43,'Raw Data'!$E$2:$E$114,"Kit w/ toroidal")</f>
        <v>0</v>
      </c>
    </row>
    <row r="44" customFormat="false" ht="15" hidden="false" customHeight="false" outlineLevel="0" collapsed="false">
      <c r="A44" s="17" t="s">
        <v>341</v>
      </c>
      <c r="B44" s="38" t="n">
        <v>46312.4835532407</v>
      </c>
      <c r="C44" s="38" t="n">
        <v>46312.4847685185</v>
      </c>
      <c r="D44" s="16" t="n">
        <f aca="false">(C44-B44)*86400</f>
        <v>105</v>
      </c>
      <c r="E44" s="17" t="s">
        <v>253</v>
      </c>
      <c r="F44" s="17" t="s">
        <v>255</v>
      </c>
      <c r="G44" s="16" t="n">
        <f aca="false">SUMIFS('Raw Data'!$G$2:$G$114,'Raw Data'!$A$2:$A$114,A44)</f>
        <v>4</v>
      </c>
      <c r="H44" s="16" t="n">
        <f aca="false">SUMIFS('Raw Data'!$F$2:$F$114,'Raw Data'!$A$2:$A$114,A44)</f>
        <v>1</v>
      </c>
      <c r="I44" s="16" t="n">
        <f aca="false">SUMIFS('Raw Data'!$K$2:$K$114,'Raw Data'!$A$2:$A$114,A44)</f>
        <v>0</v>
      </c>
      <c r="J44" s="16" t="n">
        <f aca="false">COUNTIF(Q44:AF44,"&gt;0")</f>
        <v>1</v>
      </c>
      <c r="K44" s="16" t="n">
        <f aca="false">COUNTIF(L44:P44,"&gt;0")</f>
        <v>1</v>
      </c>
      <c r="L44" s="37" t="n">
        <f aca="false">SUMIFS('Raw Data'!$F$2:$F$114,'Raw Data'!$A$2:$A$114,$A44,'Raw Data'!$L$2:$L$114,"Asian food")</f>
        <v>0</v>
      </c>
      <c r="M44" s="37" t="n">
        <f aca="false">SUMIFS('Raw Data'!$F$2:$F$114,'Raw Data'!$A$2:$A$114,$A44,'Raw Data'!$L$2:$L$114,"Snacks &amp; treats")</f>
        <v>0</v>
      </c>
      <c r="N44" s="37" t="n">
        <f aca="false">SUMIFS('Raw Data'!$F$2:$F$114,'Raw Data'!$A$2:$A$114,$A44,'Raw Data'!$L$2:$L$114,"Minecraft")</f>
        <v>0</v>
      </c>
      <c r="O44" s="37" t="n">
        <f aca="false">SUMIFS('Raw Data'!$F$2:$F$114,'Raw Data'!$A$2:$A$114,$A44,'Raw Data'!$L$2:$L$114,"Workshop")</f>
        <v>1</v>
      </c>
      <c r="P44" s="37" t="n">
        <f aca="false">SUMIFS('Raw Data'!$F$2:$F$114,'Raw Data'!$A$2:$A$114,$A44,'Raw Data'!$L$2:$L$114,"Copters")</f>
        <v>0</v>
      </c>
      <c r="Q44" s="37" t="n">
        <f aca="false">SUMIFS('Raw Data'!$F$2:$F$114,'Raw Data'!$A$2:$A$114,$A44,'Raw Data'!$E$2:$E$114,"Egg tart")</f>
        <v>0</v>
      </c>
      <c r="R44" s="37" t="n">
        <f aca="false">SUMIFS('Raw Data'!$F$2:$F$114,'Raw Data'!$A$2:$A$114,$A44,'Raw Data'!$E$2:$E$114,"Hot dog bun")</f>
        <v>0</v>
      </c>
      <c r="S44" s="37" t="n">
        <f aca="false">SUMIFS('Raw Data'!$F$2:$F$114,'Raw Data'!$A$2:$A$114,$A44,'Raw Data'!$E$2:$E$114,"S'mores")</f>
        <v>0</v>
      </c>
      <c r="T44" s="37" t="n">
        <f aca="false">SUMIFS('Raw Data'!$F$2:$F$114,'Raw Data'!$A$2:$A$114,$A44,'Raw Data'!$E$2:$E$114,"Chocolate bar")</f>
        <v>0</v>
      </c>
      <c r="U44" s="37" t="n">
        <f aca="false">SUMIFS('Raw Data'!$F$2:$F$114,'Raw Data'!$A$2:$A$114,$A44,'Raw Data'!$E$2:$E$114,"Avocado")</f>
        <v>0</v>
      </c>
      <c r="V44" s="37" t="n">
        <f aca="false">SUMIFS('Raw Data'!$F$2:$F$114,'Raw Data'!$A$2:$A$114,$A44,'Raw Data'!$E$2:$E$114,"Dumpling")</f>
        <v>0</v>
      </c>
      <c r="W44" s="37" t="n">
        <f aca="false">SUMIFS('Raw Data'!$F$2:$F$114,'Raw Data'!$A$2:$A$114,$A44,'Raw Data'!$E$2:$E$114,"Creeper")</f>
        <v>0</v>
      </c>
      <c r="X44" s="37" t="n">
        <f aca="false">SUMIFS('Raw Data'!$F$2:$F$114,'Raw Data'!$A$2:$A$114,$A44,'Raw Data'!$E$2:$E$114,"Oreo")</f>
        <v>0</v>
      </c>
      <c r="Y44" s="37" t="n">
        <f aca="false">SUMIFS('Raw Data'!$F$2:$F$114,'Raw Data'!$A$2:$A$114,$A44,'Raw Data'!$E$2:$E$114,"Spam musubi")</f>
        <v>0</v>
      </c>
      <c r="Z44" s="37" t="n">
        <f aca="false">SUMIFS('Raw Data'!$F$2:$F$114,'Raw Data'!$A$2:$A$114,$A44,'Raw Data'!$E$2:$E$114,"Salmon nigiri")</f>
        <v>0</v>
      </c>
      <c r="AA44" s="37" t="n">
        <f aca="false">SUMIFS('Raw Data'!$F$2:$F$114,'Raw Data'!$A$2:$A$114,$A44,'Raw Data'!$E$2:$E$114,"LEGO brick")</f>
        <v>0</v>
      </c>
      <c r="AB44" s="37" t="n">
        <f aca="false">SUMIFS('Raw Data'!$F$2:$F$114,'Raw Data'!$A$2:$A$114,$A44,'Raw Data'!$E$2:$E$114,"WD-40")</f>
        <v>1</v>
      </c>
      <c r="AC44" s="37" t="n">
        <f aca="false">SUMIFS('Raw Data'!$F$2:$F$114,'Raw Data'!$A$2:$A$114,$A44,'Raw Data'!$E$2:$E$114,"Creeper infinity cube")</f>
        <v>0</v>
      </c>
      <c r="AD44" s="37" t="n">
        <f aca="false">SUMIFS('Raw Data'!$F$2:$F$114,'Raw Data'!$A$2:$A$114,$A44,'Raw Data'!$E$2:$E$114,"Burger")</f>
        <v>0</v>
      </c>
      <c r="AE44" s="37" t="n">
        <f aca="false">SUMIFS('Raw Data'!$F$2:$F$114,'Raw Data'!$A$2:$A$114,$A44,'Raw Data'!$E$2:$E$114,"Full kit")</f>
        <v>0</v>
      </c>
      <c r="AF44" s="37" t="n">
        <f aca="false">SUMIFS('Raw Data'!$F$2:$F$114,'Raw Data'!$A$2:$A$114,$A44,'Raw Data'!$E$2:$E$114,"Kit w/ toroidal")</f>
        <v>0</v>
      </c>
    </row>
    <row r="45" customFormat="false" ht="15" hidden="false" customHeight="false" outlineLevel="0" collapsed="false">
      <c r="A45" s="17" t="s">
        <v>342</v>
      </c>
      <c r="B45" s="38" t="n">
        <v>46312.4854050926</v>
      </c>
      <c r="C45" s="38" t="n">
        <v>46312.485462963</v>
      </c>
      <c r="D45" s="16" t="n">
        <f aca="false">(C45-B45)*86400</f>
        <v>5</v>
      </c>
      <c r="E45" s="17" t="s">
        <v>251</v>
      </c>
      <c r="F45" s="17"/>
      <c r="G45" s="16" t="n">
        <f aca="false">SUMIFS('Raw Data'!$G$2:$G$114,'Raw Data'!$A$2:$A$114,A45)</f>
        <v>4</v>
      </c>
      <c r="H45" s="16" t="n">
        <f aca="false">SUMIFS('Raw Data'!$F$2:$F$114,'Raw Data'!$A$2:$A$114,A45)</f>
        <v>1</v>
      </c>
      <c r="I45" s="16" t="n">
        <f aca="false">SUMIFS('Raw Data'!$K$2:$K$114,'Raw Data'!$A$2:$A$114,A45)</f>
        <v>0</v>
      </c>
      <c r="J45" s="16" t="n">
        <f aca="false">COUNTIF(Q45:AF45,"&gt;0")</f>
        <v>1</v>
      </c>
      <c r="K45" s="16" t="n">
        <f aca="false">COUNTIF(L45:P45,"&gt;0")</f>
        <v>1</v>
      </c>
      <c r="L45" s="37" t="n">
        <f aca="false">SUMIFS('Raw Data'!$F$2:$F$114,'Raw Data'!$A$2:$A$114,$A45,'Raw Data'!$L$2:$L$114,"Asian food")</f>
        <v>1</v>
      </c>
      <c r="M45" s="37" t="n">
        <f aca="false">SUMIFS('Raw Data'!$F$2:$F$114,'Raw Data'!$A$2:$A$114,$A45,'Raw Data'!$L$2:$L$114,"Snacks &amp; treats")</f>
        <v>0</v>
      </c>
      <c r="N45" s="37" t="n">
        <f aca="false">SUMIFS('Raw Data'!$F$2:$F$114,'Raw Data'!$A$2:$A$114,$A45,'Raw Data'!$L$2:$L$114,"Minecraft")</f>
        <v>0</v>
      </c>
      <c r="O45" s="37" t="n">
        <f aca="false">SUMIFS('Raw Data'!$F$2:$F$114,'Raw Data'!$A$2:$A$114,$A45,'Raw Data'!$L$2:$L$114,"Workshop")</f>
        <v>0</v>
      </c>
      <c r="P45" s="37" t="n">
        <f aca="false">SUMIFS('Raw Data'!$F$2:$F$114,'Raw Data'!$A$2:$A$114,$A45,'Raw Data'!$L$2:$L$114,"Copters")</f>
        <v>0</v>
      </c>
      <c r="Q45" s="37" t="n">
        <f aca="false">SUMIFS('Raw Data'!$F$2:$F$114,'Raw Data'!$A$2:$A$114,$A45,'Raw Data'!$E$2:$E$114,"Egg tart")</f>
        <v>0</v>
      </c>
      <c r="R45" s="37" t="n">
        <f aca="false">SUMIFS('Raw Data'!$F$2:$F$114,'Raw Data'!$A$2:$A$114,$A45,'Raw Data'!$E$2:$E$114,"Hot dog bun")</f>
        <v>0</v>
      </c>
      <c r="S45" s="37" t="n">
        <f aca="false">SUMIFS('Raw Data'!$F$2:$F$114,'Raw Data'!$A$2:$A$114,$A45,'Raw Data'!$E$2:$E$114,"S'mores")</f>
        <v>0</v>
      </c>
      <c r="T45" s="37" t="n">
        <f aca="false">SUMIFS('Raw Data'!$F$2:$F$114,'Raw Data'!$A$2:$A$114,$A45,'Raw Data'!$E$2:$E$114,"Chocolate bar")</f>
        <v>0</v>
      </c>
      <c r="U45" s="37" t="n">
        <f aca="false">SUMIFS('Raw Data'!$F$2:$F$114,'Raw Data'!$A$2:$A$114,$A45,'Raw Data'!$E$2:$E$114,"Avocado")</f>
        <v>0</v>
      </c>
      <c r="V45" s="37" t="n">
        <f aca="false">SUMIFS('Raw Data'!$F$2:$F$114,'Raw Data'!$A$2:$A$114,$A45,'Raw Data'!$E$2:$E$114,"Dumpling")</f>
        <v>0</v>
      </c>
      <c r="W45" s="37" t="n">
        <f aca="false">SUMIFS('Raw Data'!$F$2:$F$114,'Raw Data'!$A$2:$A$114,$A45,'Raw Data'!$E$2:$E$114,"Creeper")</f>
        <v>0</v>
      </c>
      <c r="X45" s="37" t="n">
        <f aca="false">SUMIFS('Raw Data'!$F$2:$F$114,'Raw Data'!$A$2:$A$114,$A45,'Raw Data'!$E$2:$E$114,"Oreo")</f>
        <v>0</v>
      </c>
      <c r="Y45" s="37" t="n">
        <f aca="false">SUMIFS('Raw Data'!$F$2:$F$114,'Raw Data'!$A$2:$A$114,$A45,'Raw Data'!$E$2:$E$114,"Spam musubi")</f>
        <v>0</v>
      </c>
      <c r="Z45" s="37" t="n">
        <f aca="false">SUMIFS('Raw Data'!$F$2:$F$114,'Raw Data'!$A$2:$A$114,$A45,'Raw Data'!$E$2:$E$114,"Salmon nigiri")</f>
        <v>1</v>
      </c>
      <c r="AA45" s="37" t="n">
        <f aca="false">SUMIFS('Raw Data'!$F$2:$F$114,'Raw Data'!$A$2:$A$114,$A45,'Raw Data'!$E$2:$E$114,"LEGO brick")</f>
        <v>0</v>
      </c>
      <c r="AB45" s="37" t="n">
        <f aca="false">SUMIFS('Raw Data'!$F$2:$F$114,'Raw Data'!$A$2:$A$114,$A45,'Raw Data'!$E$2:$E$114,"WD-40")</f>
        <v>0</v>
      </c>
      <c r="AC45" s="37" t="n">
        <f aca="false">SUMIFS('Raw Data'!$F$2:$F$114,'Raw Data'!$A$2:$A$114,$A45,'Raw Data'!$E$2:$E$114,"Creeper infinity cube")</f>
        <v>0</v>
      </c>
      <c r="AD45" s="37" t="n">
        <f aca="false">SUMIFS('Raw Data'!$F$2:$F$114,'Raw Data'!$A$2:$A$114,$A45,'Raw Data'!$E$2:$E$114,"Burger")</f>
        <v>0</v>
      </c>
      <c r="AE45" s="37" t="n">
        <f aca="false">SUMIFS('Raw Data'!$F$2:$F$114,'Raw Data'!$A$2:$A$114,$A45,'Raw Data'!$E$2:$E$114,"Full kit")</f>
        <v>0</v>
      </c>
      <c r="AF45" s="37" t="n">
        <f aca="false">SUMIFS('Raw Data'!$F$2:$F$114,'Raw Data'!$A$2:$A$114,$A45,'Raw Data'!$E$2:$E$114,"Kit w/ toroidal")</f>
        <v>0</v>
      </c>
    </row>
    <row r="46" customFormat="false" ht="15" hidden="false" customHeight="false" outlineLevel="0" collapsed="false">
      <c r="A46" s="17" t="s">
        <v>343</v>
      </c>
      <c r="B46" s="38" t="n">
        <v>46312.4918518519</v>
      </c>
      <c r="C46" s="38" t="n">
        <v>46312.4918865741</v>
      </c>
      <c r="D46" s="16" t="n">
        <f aca="false">(C46-B46)*86400</f>
        <v>3</v>
      </c>
      <c r="E46" s="17" t="s">
        <v>251</v>
      </c>
      <c r="F46" s="17" t="s">
        <v>255</v>
      </c>
      <c r="G46" s="16" t="n">
        <f aca="false">SUMIFS('Raw Data'!$G$2:$G$114,'Raw Data'!$A$2:$A$114,A46)</f>
        <v>4</v>
      </c>
      <c r="H46" s="16" t="n">
        <f aca="false">SUMIFS('Raw Data'!$F$2:$F$114,'Raw Data'!$A$2:$A$114,A46)</f>
        <v>1</v>
      </c>
      <c r="I46" s="16" t="n">
        <f aca="false">SUMIFS('Raw Data'!$K$2:$K$114,'Raw Data'!$A$2:$A$114,A46)</f>
        <v>0</v>
      </c>
      <c r="J46" s="16" t="n">
        <f aca="false">COUNTIF(Q46:AF46,"&gt;0")</f>
        <v>1</v>
      </c>
      <c r="K46" s="16" t="n">
        <f aca="false">COUNTIF(L46:P46,"&gt;0")</f>
        <v>1</v>
      </c>
      <c r="L46" s="37" t="n">
        <f aca="false">SUMIFS('Raw Data'!$F$2:$F$114,'Raw Data'!$A$2:$A$114,$A46,'Raw Data'!$L$2:$L$114,"Asian food")</f>
        <v>0</v>
      </c>
      <c r="M46" s="37" t="n">
        <f aca="false">SUMIFS('Raw Data'!$F$2:$F$114,'Raw Data'!$A$2:$A$114,$A46,'Raw Data'!$L$2:$L$114,"Snacks &amp; treats")</f>
        <v>0</v>
      </c>
      <c r="N46" s="37" t="n">
        <f aca="false">SUMIFS('Raw Data'!$F$2:$F$114,'Raw Data'!$A$2:$A$114,$A46,'Raw Data'!$L$2:$L$114,"Minecraft")</f>
        <v>1</v>
      </c>
      <c r="O46" s="37" t="n">
        <f aca="false">SUMIFS('Raw Data'!$F$2:$F$114,'Raw Data'!$A$2:$A$114,$A46,'Raw Data'!$L$2:$L$114,"Workshop")</f>
        <v>0</v>
      </c>
      <c r="P46" s="37" t="n">
        <f aca="false">SUMIFS('Raw Data'!$F$2:$F$114,'Raw Data'!$A$2:$A$114,$A46,'Raw Data'!$L$2:$L$114,"Copters")</f>
        <v>0</v>
      </c>
      <c r="Q46" s="37" t="n">
        <f aca="false">SUMIFS('Raw Data'!$F$2:$F$114,'Raw Data'!$A$2:$A$114,$A46,'Raw Data'!$E$2:$E$114,"Egg tart")</f>
        <v>0</v>
      </c>
      <c r="R46" s="37" t="n">
        <f aca="false">SUMIFS('Raw Data'!$F$2:$F$114,'Raw Data'!$A$2:$A$114,$A46,'Raw Data'!$E$2:$E$114,"Hot dog bun")</f>
        <v>0</v>
      </c>
      <c r="S46" s="37" t="n">
        <f aca="false">SUMIFS('Raw Data'!$F$2:$F$114,'Raw Data'!$A$2:$A$114,$A46,'Raw Data'!$E$2:$E$114,"S'mores")</f>
        <v>0</v>
      </c>
      <c r="T46" s="37" t="n">
        <f aca="false">SUMIFS('Raw Data'!$F$2:$F$114,'Raw Data'!$A$2:$A$114,$A46,'Raw Data'!$E$2:$E$114,"Chocolate bar")</f>
        <v>0</v>
      </c>
      <c r="U46" s="37" t="n">
        <f aca="false">SUMIFS('Raw Data'!$F$2:$F$114,'Raw Data'!$A$2:$A$114,$A46,'Raw Data'!$E$2:$E$114,"Avocado")</f>
        <v>0</v>
      </c>
      <c r="V46" s="37" t="n">
        <f aca="false">SUMIFS('Raw Data'!$F$2:$F$114,'Raw Data'!$A$2:$A$114,$A46,'Raw Data'!$E$2:$E$114,"Dumpling")</f>
        <v>0</v>
      </c>
      <c r="W46" s="37" t="n">
        <f aca="false">SUMIFS('Raw Data'!$F$2:$F$114,'Raw Data'!$A$2:$A$114,$A46,'Raw Data'!$E$2:$E$114,"Creeper")</f>
        <v>1</v>
      </c>
      <c r="X46" s="37" t="n">
        <f aca="false">SUMIFS('Raw Data'!$F$2:$F$114,'Raw Data'!$A$2:$A$114,$A46,'Raw Data'!$E$2:$E$114,"Oreo")</f>
        <v>0</v>
      </c>
      <c r="Y46" s="37" t="n">
        <f aca="false">SUMIFS('Raw Data'!$F$2:$F$114,'Raw Data'!$A$2:$A$114,$A46,'Raw Data'!$E$2:$E$114,"Spam musubi")</f>
        <v>0</v>
      </c>
      <c r="Z46" s="37" t="n">
        <f aca="false">SUMIFS('Raw Data'!$F$2:$F$114,'Raw Data'!$A$2:$A$114,$A46,'Raw Data'!$E$2:$E$114,"Salmon nigiri")</f>
        <v>0</v>
      </c>
      <c r="AA46" s="37" t="n">
        <f aca="false">SUMIFS('Raw Data'!$F$2:$F$114,'Raw Data'!$A$2:$A$114,$A46,'Raw Data'!$E$2:$E$114,"LEGO brick")</f>
        <v>0</v>
      </c>
      <c r="AB46" s="37" t="n">
        <f aca="false">SUMIFS('Raw Data'!$F$2:$F$114,'Raw Data'!$A$2:$A$114,$A46,'Raw Data'!$E$2:$E$114,"WD-40")</f>
        <v>0</v>
      </c>
      <c r="AC46" s="37" t="n">
        <f aca="false">SUMIFS('Raw Data'!$F$2:$F$114,'Raw Data'!$A$2:$A$114,$A46,'Raw Data'!$E$2:$E$114,"Creeper infinity cube")</f>
        <v>0</v>
      </c>
      <c r="AD46" s="37" t="n">
        <f aca="false">SUMIFS('Raw Data'!$F$2:$F$114,'Raw Data'!$A$2:$A$114,$A46,'Raw Data'!$E$2:$E$114,"Burger")</f>
        <v>0</v>
      </c>
      <c r="AE46" s="37" t="n">
        <f aca="false">SUMIFS('Raw Data'!$F$2:$F$114,'Raw Data'!$A$2:$A$114,$A46,'Raw Data'!$E$2:$E$114,"Full kit")</f>
        <v>0</v>
      </c>
      <c r="AF46" s="37" t="n">
        <f aca="false">SUMIFS('Raw Data'!$F$2:$F$114,'Raw Data'!$A$2:$A$114,$A46,'Raw Data'!$E$2:$E$114,"Kit w/ toroidal")</f>
        <v>0</v>
      </c>
    </row>
    <row r="47" customFormat="false" ht="15" hidden="false" customHeight="false" outlineLevel="0" collapsed="false">
      <c r="A47" s="17" t="s">
        <v>344</v>
      </c>
      <c r="B47" s="38" t="n">
        <v>46312.4933796296</v>
      </c>
      <c r="C47" s="38" t="n">
        <v>46312.4934375</v>
      </c>
      <c r="D47" s="16" t="n">
        <f aca="false">(C47-B47)*86400</f>
        <v>5</v>
      </c>
      <c r="E47" s="17" t="s">
        <v>251</v>
      </c>
      <c r="F47" s="17" t="s">
        <v>256</v>
      </c>
      <c r="G47" s="16" t="n">
        <f aca="false">SUMIFS('Raw Data'!$G$2:$G$114,'Raw Data'!$A$2:$A$114,A47)</f>
        <v>7</v>
      </c>
      <c r="H47" s="16" t="n">
        <f aca="false">SUMIFS('Raw Data'!$F$2:$F$114,'Raw Data'!$A$2:$A$114,A47)</f>
        <v>2</v>
      </c>
      <c r="I47" s="16" t="n">
        <f aca="false">SUMIFS('Raw Data'!$K$2:$K$114,'Raw Data'!$A$2:$A$114,A47)</f>
        <v>0</v>
      </c>
      <c r="J47" s="16" t="n">
        <f aca="false">COUNTIF(Q47:AF47,"&gt;0")</f>
        <v>1</v>
      </c>
      <c r="K47" s="16" t="n">
        <f aca="false">COUNTIF(L47:P47,"&gt;0")</f>
        <v>1</v>
      </c>
      <c r="L47" s="37" t="n">
        <f aca="false">SUMIFS('Raw Data'!$F$2:$F$114,'Raw Data'!$A$2:$A$114,$A47,'Raw Data'!$L$2:$L$114,"Asian food")</f>
        <v>2</v>
      </c>
      <c r="M47" s="37" t="n">
        <f aca="false">SUMIFS('Raw Data'!$F$2:$F$114,'Raw Data'!$A$2:$A$114,$A47,'Raw Data'!$L$2:$L$114,"Snacks &amp; treats")</f>
        <v>0</v>
      </c>
      <c r="N47" s="37" t="n">
        <f aca="false">SUMIFS('Raw Data'!$F$2:$F$114,'Raw Data'!$A$2:$A$114,$A47,'Raw Data'!$L$2:$L$114,"Minecraft")</f>
        <v>0</v>
      </c>
      <c r="O47" s="37" t="n">
        <f aca="false">SUMIFS('Raw Data'!$F$2:$F$114,'Raw Data'!$A$2:$A$114,$A47,'Raw Data'!$L$2:$L$114,"Workshop")</f>
        <v>0</v>
      </c>
      <c r="P47" s="37" t="n">
        <f aca="false">SUMIFS('Raw Data'!$F$2:$F$114,'Raw Data'!$A$2:$A$114,$A47,'Raw Data'!$L$2:$L$114,"Copters")</f>
        <v>0</v>
      </c>
      <c r="Q47" s="37" t="n">
        <f aca="false">SUMIFS('Raw Data'!$F$2:$F$114,'Raw Data'!$A$2:$A$114,$A47,'Raw Data'!$E$2:$E$114,"Egg tart")</f>
        <v>0</v>
      </c>
      <c r="R47" s="37" t="n">
        <f aca="false">SUMIFS('Raw Data'!$F$2:$F$114,'Raw Data'!$A$2:$A$114,$A47,'Raw Data'!$E$2:$E$114,"Hot dog bun")</f>
        <v>0</v>
      </c>
      <c r="S47" s="37" t="n">
        <f aca="false">SUMIFS('Raw Data'!$F$2:$F$114,'Raw Data'!$A$2:$A$114,$A47,'Raw Data'!$E$2:$E$114,"S'mores")</f>
        <v>0</v>
      </c>
      <c r="T47" s="37" t="n">
        <f aca="false">SUMIFS('Raw Data'!$F$2:$F$114,'Raw Data'!$A$2:$A$114,$A47,'Raw Data'!$E$2:$E$114,"Chocolate bar")</f>
        <v>0</v>
      </c>
      <c r="U47" s="37" t="n">
        <f aca="false">SUMIFS('Raw Data'!$F$2:$F$114,'Raw Data'!$A$2:$A$114,$A47,'Raw Data'!$E$2:$E$114,"Avocado")</f>
        <v>0</v>
      </c>
      <c r="V47" s="37" t="n">
        <f aca="false">SUMIFS('Raw Data'!$F$2:$F$114,'Raw Data'!$A$2:$A$114,$A47,'Raw Data'!$E$2:$E$114,"Dumpling")</f>
        <v>2</v>
      </c>
      <c r="W47" s="37" t="n">
        <f aca="false">SUMIFS('Raw Data'!$F$2:$F$114,'Raw Data'!$A$2:$A$114,$A47,'Raw Data'!$E$2:$E$114,"Creeper")</f>
        <v>0</v>
      </c>
      <c r="X47" s="37" t="n">
        <f aca="false">SUMIFS('Raw Data'!$F$2:$F$114,'Raw Data'!$A$2:$A$114,$A47,'Raw Data'!$E$2:$E$114,"Oreo")</f>
        <v>0</v>
      </c>
      <c r="Y47" s="37" t="n">
        <f aca="false">SUMIFS('Raw Data'!$F$2:$F$114,'Raw Data'!$A$2:$A$114,$A47,'Raw Data'!$E$2:$E$114,"Spam musubi")</f>
        <v>0</v>
      </c>
      <c r="Z47" s="37" t="n">
        <f aca="false">SUMIFS('Raw Data'!$F$2:$F$114,'Raw Data'!$A$2:$A$114,$A47,'Raw Data'!$E$2:$E$114,"Salmon nigiri")</f>
        <v>0</v>
      </c>
      <c r="AA47" s="37" t="n">
        <f aca="false">SUMIFS('Raw Data'!$F$2:$F$114,'Raw Data'!$A$2:$A$114,$A47,'Raw Data'!$E$2:$E$114,"LEGO brick")</f>
        <v>0</v>
      </c>
      <c r="AB47" s="37" t="n">
        <f aca="false">SUMIFS('Raw Data'!$F$2:$F$114,'Raw Data'!$A$2:$A$114,$A47,'Raw Data'!$E$2:$E$114,"WD-40")</f>
        <v>0</v>
      </c>
      <c r="AC47" s="37" t="n">
        <f aca="false">SUMIFS('Raw Data'!$F$2:$F$114,'Raw Data'!$A$2:$A$114,$A47,'Raw Data'!$E$2:$E$114,"Creeper infinity cube")</f>
        <v>0</v>
      </c>
      <c r="AD47" s="37" t="n">
        <f aca="false">SUMIFS('Raw Data'!$F$2:$F$114,'Raw Data'!$A$2:$A$114,$A47,'Raw Data'!$E$2:$E$114,"Burger")</f>
        <v>0</v>
      </c>
      <c r="AE47" s="37" t="n">
        <f aca="false">SUMIFS('Raw Data'!$F$2:$F$114,'Raw Data'!$A$2:$A$114,$A47,'Raw Data'!$E$2:$E$114,"Full kit")</f>
        <v>0</v>
      </c>
      <c r="AF47" s="37" t="n">
        <f aca="false">SUMIFS('Raw Data'!$F$2:$F$114,'Raw Data'!$A$2:$A$114,$A47,'Raw Data'!$E$2:$E$114,"Kit w/ toroidal")</f>
        <v>0</v>
      </c>
    </row>
    <row r="48" customFormat="false" ht="15" hidden="false" customHeight="false" outlineLevel="0" collapsed="false">
      <c r="A48" s="17" t="s">
        <v>345</v>
      </c>
      <c r="B48" s="38" t="n">
        <v>46312.4938425926</v>
      </c>
      <c r="C48" s="38" t="n">
        <v>46312.4938888889</v>
      </c>
      <c r="D48" s="16" t="n">
        <f aca="false">(C48-B48)*86400</f>
        <v>4</v>
      </c>
      <c r="E48" s="17" t="s">
        <v>251</v>
      </c>
      <c r="F48" s="17" t="s">
        <v>255</v>
      </c>
      <c r="G48" s="16" t="n">
        <f aca="false">SUMIFS('Raw Data'!$G$2:$G$114,'Raw Data'!$A$2:$A$114,A48)</f>
        <v>4</v>
      </c>
      <c r="H48" s="16" t="n">
        <f aca="false">SUMIFS('Raw Data'!$F$2:$F$114,'Raw Data'!$A$2:$A$114,A48)</f>
        <v>1</v>
      </c>
      <c r="I48" s="16" t="n">
        <f aca="false">SUMIFS('Raw Data'!$K$2:$K$114,'Raw Data'!$A$2:$A$114,A48)</f>
        <v>0</v>
      </c>
      <c r="J48" s="16" t="n">
        <f aca="false">COUNTIF(Q48:AF48,"&gt;0")</f>
        <v>1</v>
      </c>
      <c r="K48" s="16" t="n">
        <f aca="false">COUNTIF(L48:P48,"&gt;0")</f>
        <v>1</v>
      </c>
      <c r="L48" s="37" t="n">
        <f aca="false">SUMIFS('Raw Data'!$F$2:$F$114,'Raw Data'!$A$2:$A$114,$A48,'Raw Data'!$L$2:$L$114,"Asian food")</f>
        <v>0</v>
      </c>
      <c r="M48" s="37" t="n">
        <f aca="false">SUMIFS('Raw Data'!$F$2:$F$114,'Raw Data'!$A$2:$A$114,$A48,'Raw Data'!$L$2:$L$114,"Snacks &amp; treats")</f>
        <v>1</v>
      </c>
      <c r="N48" s="37" t="n">
        <f aca="false">SUMIFS('Raw Data'!$F$2:$F$114,'Raw Data'!$A$2:$A$114,$A48,'Raw Data'!$L$2:$L$114,"Minecraft")</f>
        <v>0</v>
      </c>
      <c r="O48" s="37" t="n">
        <f aca="false">SUMIFS('Raw Data'!$F$2:$F$114,'Raw Data'!$A$2:$A$114,$A48,'Raw Data'!$L$2:$L$114,"Workshop")</f>
        <v>0</v>
      </c>
      <c r="P48" s="37" t="n">
        <f aca="false">SUMIFS('Raw Data'!$F$2:$F$114,'Raw Data'!$A$2:$A$114,$A48,'Raw Data'!$L$2:$L$114,"Copters")</f>
        <v>0</v>
      </c>
      <c r="Q48" s="37" t="n">
        <f aca="false">SUMIFS('Raw Data'!$F$2:$F$114,'Raw Data'!$A$2:$A$114,$A48,'Raw Data'!$E$2:$E$114,"Egg tart")</f>
        <v>0</v>
      </c>
      <c r="R48" s="37" t="n">
        <f aca="false">SUMIFS('Raw Data'!$F$2:$F$114,'Raw Data'!$A$2:$A$114,$A48,'Raw Data'!$E$2:$E$114,"Hot dog bun")</f>
        <v>1</v>
      </c>
      <c r="S48" s="37" t="n">
        <f aca="false">SUMIFS('Raw Data'!$F$2:$F$114,'Raw Data'!$A$2:$A$114,$A48,'Raw Data'!$E$2:$E$114,"S'mores")</f>
        <v>0</v>
      </c>
      <c r="T48" s="37" t="n">
        <f aca="false">SUMIFS('Raw Data'!$F$2:$F$114,'Raw Data'!$A$2:$A$114,$A48,'Raw Data'!$E$2:$E$114,"Chocolate bar")</f>
        <v>0</v>
      </c>
      <c r="U48" s="37" t="n">
        <f aca="false">SUMIFS('Raw Data'!$F$2:$F$114,'Raw Data'!$A$2:$A$114,$A48,'Raw Data'!$E$2:$E$114,"Avocado")</f>
        <v>0</v>
      </c>
      <c r="V48" s="37" t="n">
        <f aca="false">SUMIFS('Raw Data'!$F$2:$F$114,'Raw Data'!$A$2:$A$114,$A48,'Raw Data'!$E$2:$E$114,"Dumpling")</f>
        <v>0</v>
      </c>
      <c r="W48" s="37" t="n">
        <f aca="false">SUMIFS('Raw Data'!$F$2:$F$114,'Raw Data'!$A$2:$A$114,$A48,'Raw Data'!$E$2:$E$114,"Creeper")</f>
        <v>0</v>
      </c>
      <c r="X48" s="37" t="n">
        <f aca="false">SUMIFS('Raw Data'!$F$2:$F$114,'Raw Data'!$A$2:$A$114,$A48,'Raw Data'!$E$2:$E$114,"Oreo")</f>
        <v>0</v>
      </c>
      <c r="Y48" s="37" t="n">
        <f aca="false">SUMIFS('Raw Data'!$F$2:$F$114,'Raw Data'!$A$2:$A$114,$A48,'Raw Data'!$E$2:$E$114,"Spam musubi")</f>
        <v>0</v>
      </c>
      <c r="Z48" s="37" t="n">
        <f aca="false">SUMIFS('Raw Data'!$F$2:$F$114,'Raw Data'!$A$2:$A$114,$A48,'Raw Data'!$E$2:$E$114,"Salmon nigiri")</f>
        <v>0</v>
      </c>
      <c r="AA48" s="37" t="n">
        <f aca="false">SUMIFS('Raw Data'!$F$2:$F$114,'Raw Data'!$A$2:$A$114,$A48,'Raw Data'!$E$2:$E$114,"LEGO brick")</f>
        <v>0</v>
      </c>
      <c r="AB48" s="37" t="n">
        <f aca="false">SUMIFS('Raw Data'!$F$2:$F$114,'Raw Data'!$A$2:$A$114,$A48,'Raw Data'!$E$2:$E$114,"WD-40")</f>
        <v>0</v>
      </c>
      <c r="AC48" s="37" t="n">
        <f aca="false">SUMIFS('Raw Data'!$F$2:$F$114,'Raw Data'!$A$2:$A$114,$A48,'Raw Data'!$E$2:$E$114,"Creeper infinity cube")</f>
        <v>0</v>
      </c>
      <c r="AD48" s="37" t="n">
        <f aca="false">SUMIFS('Raw Data'!$F$2:$F$114,'Raw Data'!$A$2:$A$114,$A48,'Raw Data'!$E$2:$E$114,"Burger")</f>
        <v>0</v>
      </c>
      <c r="AE48" s="37" t="n">
        <f aca="false">SUMIFS('Raw Data'!$F$2:$F$114,'Raw Data'!$A$2:$A$114,$A48,'Raw Data'!$E$2:$E$114,"Full kit")</f>
        <v>0</v>
      </c>
      <c r="AF48" s="37" t="n">
        <f aca="false">SUMIFS('Raw Data'!$F$2:$F$114,'Raw Data'!$A$2:$A$114,$A48,'Raw Data'!$E$2:$E$114,"Kit w/ toroidal")</f>
        <v>0</v>
      </c>
    </row>
    <row r="49" customFormat="false" ht="15" hidden="false" customHeight="false" outlineLevel="0" collapsed="false">
      <c r="A49" s="17" t="s">
        <v>346</v>
      </c>
      <c r="B49" s="38" t="n">
        <v>46312.4947685185</v>
      </c>
      <c r="C49" s="38" t="n">
        <v>46312.494849537</v>
      </c>
      <c r="D49" s="16" t="n">
        <f aca="false">(C49-B49)*86400</f>
        <v>7</v>
      </c>
      <c r="E49" s="17" t="s">
        <v>251</v>
      </c>
      <c r="F49" s="17" t="s">
        <v>255</v>
      </c>
      <c r="G49" s="16" t="n">
        <f aca="false">SUMIFS('Raw Data'!$G$2:$G$114,'Raw Data'!$A$2:$A$114,A49)</f>
        <v>10</v>
      </c>
      <c r="H49" s="16" t="n">
        <f aca="false">SUMIFS('Raw Data'!$F$2:$F$114,'Raw Data'!$A$2:$A$114,A49)</f>
        <v>3</v>
      </c>
      <c r="I49" s="16" t="n">
        <f aca="false">SUMIFS('Raw Data'!$K$2:$K$114,'Raw Data'!$A$2:$A$114,A49)</f>
        <v>1</v>
      </c>
      <c r="J49" s="16" t="n">
        <f aca="false">COUNTIF(Q49:AF49,"&gt;0")</f>
        <v>3</v>
      </c>
      <c r="K49" s="16" t="n">
        <f aca="false">COUNTIF(L49:P49,"&gt;0")</f>
        <v>2</v>
      </c>
      <c r="L49" s="37" t="n">
        <f aca="false">SUMIFS('Raw Data'!$F$2:$F$114,'Raw Data'!$A$2:$A$114,$A49,'Raw Data'!$L$2:$L$114,"Asian food")</f>
        <v>1</v>
      </c>
      <c r="M49" s="37" t="n">
        <f aca="false">SUMIFS('Raw Data'!$F$2:$F$114,'Raw Data'!$A$2:$A$114,$A49,'Raw Data'!$L$2:$L$114,"Snacks &amp; treats")</f>
        <v>2</v>
      </c>
      <c r="N49" s="37" t="n">
        <f aca="false">SUMIFS('Raw Data'!$F$2:$F$114,'Raw Data'!$A$2:$A$114,$A49,'Raw Data'!$L$2:$L$114,"Minecraft")</f>
        <v>0</v>
      </c>
      <c r="O49" s="37" t="n">
        <f aca="false">SUMIFS('Raw Data'!$F$2:$F$114,'Raw Data'!$A$2:$A$114,$A49,'Raw Data'!$L$2:$L$114,"Workshop")</f>
        <v>0</v>
      </c>
      <c r="P49" s="37" t="n">
        <f aca="false">SUMIFS('Raw Data'!$F$2:$F$114,'Raw Data'!$A$2:$A$114,$A49,'Raw Data'!$L$2:$L$114,"Copters")</f>
        <v>0</v>
      </c>
      <c r="Q49" s="37" t="n">
        <f aca="false">SUMIFS('Raw Data'!$F$2:$F$114,'Raw Data'!$A$2:$A$114,$A49,'Raw Data'!$E$2:$E$114,"Egg tart")</f>
        <v>0</v>
      </c>
      <c r="R49" s="37" t="n">
        <f aca="false">SUMIFS('Raw Data'!$F$2:$F$114,'Raw Data'!$A$2:$A$114,$A49,'Raw Data'!$E$2:$E$114,"Hot dog bun")</f>
        <v>1</v>
      </c>
      <c r="S49" s="37" t="n">
        <f aca="false">SUMIFS('Raw Data'!$F$2:$F$114,'Raw Data'!$A$2:$A$114,$A49,'Raw Data'!$E$2:$E$114,"S'mores")</f>
        <v>0</v>
      </c>
      <c r="T49" s="37" t="n">
        <f aca="false">SUMIFS('Raw Data'!$F$2:$F$114,'Raw Data'!$A$2:$A$114,$A49,'Raw Data'!$E$2:$E$114,"Chocolate bar")</f>
        <v>0</v>
      </c>
      <c r="U49" s="37" t="n">
        <f aca="false">SUMIFS('Raw Data'!$F$2:$F$114,'Raw Data'!$A$2:$A$114,$A49,'Raw Data'!$E$2:$E$114,"Avocado")</f>
        <v>1</v>
      </c>
      <c r="V49" s="37" t="n">
        <f aca="false">SUMIFS('Raw Data'!$F$2:$F$114,'Raw Data'!$A$2:$A$114,$A49,'Raw Data'!$E$2:$E$114,"Dumpling")</f>
        <v>1</v>
      </c>
      <c r="W49" s="37" t="n">
        <f aca="false">SUMIFS('Raw Data'!$F$2:$F$114,'Raw Data'!$A$2:$A$114,$A49,'Raw Data'!$E$2:$E$114,"Creeper")</f>
        <v>0</v>
      </c>
      <c r="X49" s="37" t="n">
        <f aca="false">SUMIFS('Raw Data'!$F$2:$F$114,'Raw Data'!$A$2:$A$114,$A49,'Raw Data'!$E$2:$E$114,"Oreo")</f>
        <v>0</v>
      </c>
      <c r="Y49" s="37" t="n">
        <f aca="false">SUMIFS('Raw Data'!$F$2:$F$114,'Raw Data'!$A$2:$A$114,$A49,'Raw Data'!$E$2:$E$114,"Spam musubi")</f>
        <v>0</v>
      </c>
      <c r="Z49" s="37" t="n">
        <f aca="false">SUMIFS('Raw Data'!$F$2:$F$114,'Raw Data'!$A$2:$A$114,$A49,'Raw Data'!$E$2:$E$114,"Salmon nigiri")</f>
        <v>0</v>
      </c>
      <c r="AA49" s="37" t="n">
        <f aca="false">SUMIFS('Raw Data'!$F$2:$F$114,'Raw Data'!$A$2:$A$114,$A49,'Raw Data'!$E$2:$E$114,"LEGO brick")</f>
        <v>0</v>
      </c>
      <c r="AB49" s="37" t="n">
        <f aca="false">SUMIFS('Raw Data'!$F$2:$F$114,'Raw Data'!$A$2:$A$114,$A49,'Raw Data'!$E$2:$E$114,"WD-40")</f>
        <v>0</v>
      </c>
      <c r="AC49" s="37" t="n">
        <f aca="false">SUMIFS('Raw Data'!$F$2:$F$114,'Raw Data'!$A$2:$A$114,$A49,'Raw Data'!$E$2:$E$114,"Creeper infinity cube")</f>
        <v>0</v>
      </c>
      <c r="AD49" s="37" t="n">
        <f aca="false">SUMIFS('Raw Data'!$F$2:$F$114,'Raw Data'!$A$2:$A$114,$A49,'Raw Data'!$E$2:$E$114,"Burger")</f>
        <v>0</v>
      </c>
      <c r="AE49" s="37" t="n">
        <f aca="false">SUMIFS('Raw Data'!$F$2:$F$114,'Raw Data'!$A$2:$A$114,$A49,'Raw Data'!$E$2:$E$114,"Full kit")</f>
        <v>0</v>
      </c>
      <c r="AF49" s="37" t="n">
        <f aca="false">SUMIFS('Raw Data'!$F$2:$F$114,'Raw Data'!$A$2:$A$114,$A49,'Raw Data'!$E$2:$E$114,"Kit w/ toroidal")</f>
        <v>0</v>
      </c>
    </row>
    <row r="50" customFormat="false" ht="15" hidden="false" customHeight="false" outlineLevel="0" collapsed="false">
      <c r="A50" s="17" t="s">
        <v>347</v>
      </c>
      <c r="B50" s="38" t="n">
        <v>46312.4959143519</v>
      </c>
      <c r="C50" s="38" t="n">
        <v>46312.4959837963</v>
      </c>
      <c r="D50" s="16" t="n">
        <f aca="false">(C50-B50)*86400</f>
        <v>6</v>
      </c>
      <c r="E50" s="17"/>
      <c r="F50" s="17" t="s">
        <v>256</v>
      </c>
      <c r="G50" s="16" t="n">
        <f aca="false">SUMIFS('Raw Data'!$G$2:$G$114,'Raw Data'!$A$2:$A$114,A50)</f>
        <v>7</v>
      </c>
      <c r="H50" s="16" t="n">
        <f aca="false">SUMIFS('Raw Data'!$F$2:$F$114,'Raw Data'!$A$2:$A$114,A50)</f>
        <v>2</v>
      </c>
      <c r="I50" s="16" t="n">
        <f aca="false">SUMIFS('Raw Data'!$K$2:$K$114,'Raw Data'!$A$2:$A$114,A50)</f>
        <v>0</v>
      </c>
      <c r="J50" s="16" t="n">
        <f aca="false">COUNTIF(Q50:AF50,"&gt;0")</f>
        <v>2</v>
      </c>
      <c r="K50" s="16" t="n">
        <f aca="false">COUNTIF(L50:P50,"&gt;0")</f>
        <v>2</v>
      </c>
      <c r="L50" s="37" t="n">
        <f aca="false">SUMIFS('Raw Data'!$F$2:$F$114,'Raw Data'!$A$2:$A$114,$A50,'Raw Data'!$L$2:$L$114,"Asian food")</f>
        <v>1</v>
      </c>
      <c r="M50" s="37" t="n">
        <f aca="false">SUMIFS('Raw Data'!$F$2:$F$114,'Raw Data'!$A$2:$A$114,$A50,'Raw Data'!$L$2:$L$114,"Snacks &amp; treats")</f>
        <v>1</v>
      </c>
      <c r="N50" s="37" t="n">
        <f aca="false">SUMIFS('Raw Data'!$F$2:$F$114,'Raw Data'!$A$2:$A$114,$A50,'Raw Data'!$L$2:$L$114,"Minecraft")</f>
        <v>0</v>
      </c>
      <c r="O50" s="37" t="n">
        <f aca="false">SUMIFS('Raw Data'!$F$2:$F$114,'Raw Data'!$A$2:$A$114,$A50,'Raw Data'!$L$2:$L$114,"Workshop")</f>
        <v>0</v>
      </c>
      <c r="P50" s="37" t="n">
        <f aca="false">SUMIFS('Raw Data'!$F$2:$F$114,'Raw Data'!$A$2:$A$114,$A50,'Raw Data'!$L$2:$L$114,"Copters")</f>
        <v>0</v>
      </c>
      <c r="Q50" s="37" t="n">
        <f aca="false">SUMIFS('Raw Data'!$F$2:$F$114,'Raw Data'!$A$2:$A$114,$A50,'Raw Data'!$E$2:$E$114,"Egg tart")</f>
        <v>1</v>
      </c>
      <c r="R50" s="37" t="n">
        <f aca="false">SUMIFS('Raw Data'!$F$2:$F$114,'Raw Data'!$A$2:$A$114,$A50,'Raw Data'!$E$2:$E$114,"Hot dog bun")</f>
        <v>0</v>
      </c>
      <c r="S50" s="37" t="n">
        <f aca="false">SUMIFS('Raw Data'!$F$2:$F$114,'Raw Data'!$A$2:$A$114,$A50,'Raw Data'!$E$2:$E$114,"S'mores")</f>
        <v>0</v>
      </c>
      <c r="T50" s="37" t="n">
        <f aca="false">SUMIFS('Raw Data'!$F$2:$F$114,'Raw Data'!$A$2:$A$114,$A50,'Raw Data'!$E$2:$E$114,"Chocolate bar")</f>
        <v>0</v>
      </c>
      <c r="U50" s="37" t="n">
        <f aca="false">SUMIFS('Raw Data'!$F$2:$F$114,'Raw Data'!$A$2:$A$114,$A50,'Raw Data'!$E$2:$E$114,"Avocado")</f>
        <v>1</v>
      </c>
      <c r="V50" s="37" t="n">
        <f aca="false">SUMIFS('Raw Data'!$F$2:$F$114,'Raw Data'!$A$2:$A$114,$A50,'Raw Data'!$E$2:$E$114,"Dumpling")</f>
        <v>0</v>
      </c>
      <c r="W50" s="37" t="n">
        <f aca="false">SUMIFS('Raw Data'!$F$2:$F$114,'Raw Data'!$A$2:$A$114,$A50,'Raw Data'!$E$2:$E$114,"Creeper")</f>
        <v>0</v>
      </c>
      <c r="X50" s="37" t="n">
        <f aca="false">SUMIFS('Raw Data'!$F$2:$F$114,'Raw Data'!$A$2:$A$114,$A50,'Raw Data'!$E$2:$E$114,"Oreo")</f>
        <v>0</v>
      </c>
      <c r="Y50" s="37" t="n">
        <f aca="false">SUMIFS('Raw Data'!$F$2:$F$114,'Raw Data'!$A$2:$A$114,$A50,'Raw Data'!$E$2:$E$114,"Spam musubi")</f>
        <v>0</v>
      </c>
      <c r="Z50" s="37" t="n">
        <f aca="false">SUMIFS('Raw Data'!$F$2:$F$114,'Raw Data'!$A$2:$A$114,$A50,'Raw Data'!$E$2:$E$114,"Salmon nigiri")</f>
        <v>0</v>
      </c>
      <c r="AA50" s="37" t="n">
        <f aca="false">SUMIFS('Raw Data'!$F$2:$F$114,'Raw Data'!$A$2:$A$114,$A50,'Raw Data'!$E$2:$E$114,"LEGO brick")</f>
        <v>0</v>
      </c>
      <c r="AB50" s="37" t="n">
        <f aca="false">SUMIFS('Raw Data'!$F$2:$F$114,'Raw Data'!$A$2:$A$114,$A50,'Raw Data'!$E$2:$E$114,"WD-40")</f>
        <v>0</v>
      </c>
      <c r="AC50" s="37" t="n">
        <f aca="false">SUMIFS('Raw Data'!$F$2:$F$114,'Raw Data'!$A$2:$A$114,$A50,'Raw Data'!$E$2:$E$114,"Creeper infinity cube")</f>
        <v>0</v>
      </c>
      <c r="AD50" s="37" t="n">
        <f aca="false">SUMIFS('Raw Data'!$F$2:$F$114,'Raw Data'!$A$2:$A$114,$A50,'Raw Data'!$E$2:$E$114,"Burger")</f>
        <v>0</v>
      </c>
      <c r="AE50" s="37" t="n">
        <f aca="false">SUMIFS('Raw Data'!$F$2:$F$114,'Raw Data'!$A$2:$A$114,$A50,'Raw Data'!$E$2:$E$114,"Full kit")</f>
        <v>0</v>
      </c>
      <c r="AF50" s="37" t="n">
        <f aca="false">SUMIFS('Raw Data'!$F$2:$F$114,'Raw Data'!$A$2:$A$114,$A50,'Raw Data'!$E$2:$E$114,"Kit w/ toroidal")</f>
        <v>0</v>
      </c>
    </row>
    <row r="51" customFormat="false" ht="15" hidden="false" customHeight="false" outlineLevel="0" collapsed="false">
      <c r="A51" s="17" t="s">
        <v>348</v>
      </c>
      <c r="B51" s="38" t="n">
        <v>46312.4978703704</v>
      </c>
      <c r="C51" s="38" t="n">
        <v>46312.4984722222</v>
      </c>
      <c r="D51" s="16" t="n">
        <f aca="false">(C51-B51)*86400</f>
        <v>52</v>
      </c>
      <c r="E51" s="17"/>
      <c r="F51" s="17"/>
      <c r="G51" s="16" t="n">
        <f aca="false">SUMIFS('Raw Data'!$G$2:$G$114,'Raw Data'!$A$2:$A$114,A51)</f>
        <v>10</v>
      </c>
      <c r="H51" s="16" t="n">
        <f aca="false">SUMIFS('Raw Data'!$F$2:$F$114,'Raw Data'!$A$2:$A$114,A51)</f>
        <v>3</v>
      </c>
      <c r="I51" s="16" t="n">
        <f aca="false">SUMIFS('Raw Data'!$K$2:$K$114,'Raw Data'!$A$2:$A$114,A51)</f>
        <v>1</v>
      </c>
      <c r="J51" s="16" t="n">
        <f aca="false">COUNTIF(Q51:AF51,"&gt;0")</f>
        <v>3</v>
      </c>
      <c r="K51" s="16" t="n">
        <f aca="false">COUNTIF(L51:P51,"&gt;0")</f>
        <v>2</v>
      </c>
      <c r="L51" s="37" t="n">
        <f aca="false">SUMIFS('Raw Data'!$F$2:$F$114,'Raw Data'!$A$2:$A$114,$A51,'Raw Data'!$L$2:$L$114,"Asian food")</f>
        <v>1</v>
      </c>
      <c r="M51" s="37" t="n">
        <f aca="false">SUMIFS('Raw Data'!$F$2:$F$114,'Raw Data'!$A$2:$A$114,$A51,'Raw Data'!$L$2:$L$114,"Snacks &amp; treats")</f>
        <v>2</v>
      </c>
      <c r="N51" s="37" t="n">
        <f aca="false">SUMIFS('Raw Data'!$F$2:$F$114,'Raw Data'!$A$2:$A$114,$A51,'Raw Data'!$L$2:$L$114,"Minecraft")</f>
        <v>0</v>
      </c>
      <c r="O51" s="37" t="n">
        <f aca="false">SUMIFS('Raw Data'!$F$2:$F$114,'Raw Data'!$A$2:$A$114,$A51,'Raw Data'!$L$2:$L$114,"Workshop")</f>
        <v>0</v>
      </c>
      <c r="P51" s="37" t="n">
        <f aca="false">SUMIFS('Raw Data'!$F$2:$F$114,'Raw Data'!$A$2:$A$114,$A51,'Raw Data'!$L$2:$L$114,"Copters")</f>
        <v>0</v>
      </c>
      <c r="Q51" s="37" t="n">
        <f aca="false">SUMIFS('Raw Data'!$F$2:$F$114,'Raw Data'!$A$2:$A$114,$A51,'Raw Data'!$E$2:$E$114,"Egg tart")</f>
        <v>0</v>
      </c>
      <c r="R51" s="37" t="n">
        <f aca="false">SUMIFS('Raw Data'!$F$2:$F$114,'Raw Data'!$A$2:$A$114,$A51,'Raw Data'!$E$2:$E$114,"Hot dog bun")</f>
        <v>1</v>
      </c>
      <c r="S51" s="37" t="n">
        <f aca="false">SUMIFS('Raw Data'!$F$2:$F$114,'Raw Data'!$A$2:$A$114,$A51,'Raw Data'!$E$2:$E$114,"S'mores")</f>
        <v>0</v>
      </c>
      <c r="T51" s="37" t="n">
        <f aca="false">SUMIFS('Raw Data'!$F$2:$F$114,'Raw Data'!$A$2:$A$114,$A51,'Raw Data'!$E$2:$E$114,"Chocolate bar")</f>
        <v>0</v>
      </c>
      <c r="U51" s="37" t="n">
        <f aca="false">SUMIFS('Raw Data'!$F$2:$F$114,'Raw Data'!$A$2:$A$114,$A51,'Raw Data'!$E$2:$E$114,"Avocado")</f>
        <v>1</v>
      </c>
      <c r="V51" s="37" t="n">
        <f aca="false">SUMIFS('Raw Data'!$F$2:$F$114,'Raw Data'!$A$2:$A$114,$A51,'Raw Data'!$E$2:$E$114,"Dumpling")</f>
        <v>0</v>
      </c>
      <c r="W51" s="37" t="n">
        <f aca="false">SUMIFS('Raw Data'!$F$2:$F$114,'Raw Data'!$A$2:$A$114,$A51,'Raw Data'!$E$2:$E$114,"Creeper")</f>
        <v>0</v>
      </c>
      <c r="X51" s="37" t="n">
        <f aca="false">SUMIFS('Raw Data'!$F$2:$F$114,'Raw Data'!$A$2:$A$114,$A51,'Raw Data'!$E$2:$E$114,"Oreo")</f>
        <v>0</v>
      </c>
      <c r="Y51" s="37" t="n">
        <f aca="false">SUMIFS('Raw Data'!$F$2:$F$114,'Raw Data'!$A$2:$A$114,$A51,'Raw Data'!$E$2:$E$114,"Spam musubi")</f>
        <v>1</v>
      </c>
      <c r="Z51" s="37" t="n">
        <f aca="false">SUMIFS('Raw Data'!$F$2:$F$114,'Raw Data'!$A$2:$A$114,$A51,'Raw Data'!$E$2:$E$114,"Salmon nigiri")</f>
        <v>0</v>
      </c>
      <c r="AA51" s="37" t="n">
        <f aca="false">SUMIFS('Raw Data'!$F$2:$F$114,'Raw Data'!$A$2:$A$114,$A51,'Raw Data'!$E$2:$E$114,"LEGO brick")</f>
        <v>0</v>
      </c>
      <c r="AB51" s="37" t="n">
        <f aca="false">SUMIFS('Raw Data'!$F$2:$F$114,'Raw Data'!$A$2:$A$114,$A51,'Raw Data'!$E$2:$E$114,"WD-40")</f>
        <v>0</v>
      </c>
      <c r="AC51" s="37" t="n">
        <f aca="false">SUMIFS('Raw Data'!$F$2:$F$114,'Raw Data'!$A$2:$A$114,$A51,'Raw Data'!$E$2:$E$114,"Creeper infinity cube")</f>
        <v>0</v>
      </c>
      <c r="AD51" s="37" t="n">
        <f aca="false">SUMIFS('Raw Data'!$F$2:$F$114,'Raw Data'!$A$2:$A$114,$A51,'Raw Data'!$E$2:$E$114,"Burger")</f>
        <v>0</v>
      </c>
      <c r="AE51" s="37" t="n">
        <f aca="false">SUMIFS('Raw Data'!$F$2:$F$114,'Raw Data'!$A$2:$A$114,$A51,'Raw Data'!$E$2:$E$114,"Full kit")</f>
        <v>0</v>
      </c>
      <c r="AF51" s="37" t="n">
        <f aca="false">SUMIFS('Raw Data'!$F$2:$F$114,'Raw Data'!$A$2:$A$114,$A51,'Raw Data'!$E$2:$E$114,"Kit w/ toroidal")</f>
        <v>0</v>
      </c>
    </row>
    <row r="52" customFormat="false" ht="15" hidden="false" customHeight="false" outlineLevel="0" collapsed="false">
      <c r="A52" s="17" t="s">
        <v>349</v>
      </c>
      <c r="B52" s="38" t="n">
        <v>46312.4991898148</v>
      </c>
      <c r="C52" s="38" t="n">
        <v>46312.4993981482</v>
      </c>
      <c r="D52" s="16" t="n">
        <f aca="false">(C52-B52)*86400</f>
        <v>18.000001064</v>
      </c>
      <c r="E52" s="17" t="s">
        <v>251</v>
      </c>
      <c r="F52" s="17" t="s">
        <v>256</v>
      </c>
      <c r="G52" s="16" t="n">
        <f aca="false">SUMIFS('Raw Data'!$G$2:$G$114,'Raw Data'!$A$2:$A$114,A52)</f>
        <v>4</v>
      </c>
      <c r="H52" s="16" t="n">
        <f aca="false">SUMIFS('Raw Data'!$F$2:$F$114,'Raw Data'!$A$2:$A$114,A52)</f>
        <v>1</v>
      </c>
      <c r="I52" s="16" t="n">
        <f aca="false">SUMIFS('Raw Data'!$K$2:$K$114,'Raw Data'!$A$2:$A$114,A52)</f>
        <v>0</v>
      </c>
      <c r="J52" s="16" t="n">
        <f aca="false">COUNTIF(Q52:AF52,"&gt;0")</f>
        <v>1</v>
      </c>
      <c r="K52" s="16" t="n">
        <f aca="false">COUNTIF(L52:P52,"&gt;0")</f>
        <v>1</v>
      </c>
      <c r="L52" s="37" t="n">
        <f aca="false">SUMIFS('Raw Data'!$F$2:$F$114,'Raw Data'!$A$2:$A$114,$A52,'Raw Data'!$L$2:$L$114,"Asian food")</f>
        <v>1</v>
      </c>
      <c r="M52" s="37" t="n">
        <f aca="false">SUMIFS('Raw Data'!$F$2:$F$114,'Raw Data'!$A$2:$A$114,$A52,'Raw Data'!$L$2:$L$114,"Snacks &amp; treats")</f>
        <v>0</v>
      </c>
      <c r="N52" s="37" t="n">
        <f aca="false">SUMIFS('Raw Data'!$F$2:$F$114,'Raw Data'!$A$2:$A$114,$A52,'Raw Data'!$L$2:$L$114,"Minecraft")</f>
        <v>0</v>
      </c>
      <c r="O52" s="37" t="n">
        <f aca="false">SUMIFS('Raw Data'!$F$2:$F$114,'Raw Data'!$A$2:$A$114,$A52,'Raw Data'!$L$2:$L$114,"Workshop")</f>
        <v>0</v>
      </c>
      <c r="P52" s="37" t="n">
        <f aca="false">SUMIFS('Raw Data'!$F$2:$F$114,'Raw Data'!$A$2:$A$114,$A52,'Raw Data'!$L$2:$L$114,"Copters")</f>
        <v>0</v>
      </c>
      <c r="Q52" s="37" t="n">
        <f aca="false">SUMIFS('Raw Data'!$F$2:$F$114,'Raw Data'!$A$2:$A$114,$A52,'Raw Data'!$E$2:$E$114,"Egg tart")</f>
        <v>1</v>
      </c>
      <c r="R52" s="37" t="n">
        <f aca="false">SUMIFS('Raw Data'!$F$2:$F$114,'Raw Data'!$A$2:$A$114,$A52,'Raw Data'!$E$2:$E$114,"Hot dog bun")</f>
        <v>0</v>
      </c>
      <c r="S52" s="37" t="n">
        <f aca="false">SUMIFS('Raw Data'!$F$2:$F$114,'Raw Data'!$A$2:$A$114,$A52,'Raw Data'!$E$2:$E$114,"S'mores")</f>
        <v>0</v>
      </c>
      <c r="T52" s="37" t="n">
        <f aca="false">SUMIFS('Raw Data'!$F$2:$F$114,'Raw Data'!$A$2:$A$114,$A52,'Raw Data'!$E$2:$E$114,"Chocolate bar")</f>
        <v>0</v>
      </c>
      <c r="U52" s="37" t="n">
        <f aca="false">SUMIFS('Raw Data'!$F$2:$F$114,'Raw Data'!$A$2:$A$114,$A52,'Raw Data'!$E$2:$E$114,"Avocado")</f>
        <v>0</v>
      </c>
      <c r="V52" s="37" t="n">
        <f aca="false">SUMIFS('Raw Data'!$F$2:$F$114,'Raw Data'!$A$2:$A$114,$A52,'Raw Data'!$E$2:$E$114,"Dumpling")</f>
        <v>0</v>
      </c>
      <c r="W52" s="37" t="n">
        <f aca="false">SUMIFS('Raw Data'!$F$2:$F$114,'Raw Data'!$A$2:$A$114,$A52,'Raw Data'!$E$2:$E$114,"Creeper")</f>
        <v>0</v>
      </c>
      <c r="X52" s="37" t="n">
        <f aca="false">SUMIFS('Raw Data'!$F$2:$F$114,'Raw Data'!$A$2:$A$114,$A52,'Raw Data'!$E$2:$E$114,"Oreo")</f>
        <v>0</v>
      </c>
      <c r="Y52" s="37" t="n">
        <f aca="false">SUMIFS('Raw Data'!$F$2:$F$114,'Raw Data'!$A$2:$A$114,$A52,'Raw Data'!$E$2:$E$114,"Spam musubi")</f>
        <v>0</v>
      </c>
      <c r="Z52" s="37" t="n">
        <f aca="false">SUMIFS('Raw Data'!$F$2:$F$114,'Raw Data'!$A$2:$A$114,$A52,'Raw Data'!$E$2:$E$114,"Salmon nigiri")</f>
        <v>0</v>
      </c>
      <c r="AA52" s="37" t="n">
        <f aca="false">SUMIFS('Raw Data'!$F$2:$F$114,'Raw Data'!$A$2:$A$114,$A52,'Raw Data'!$E$2:$E$114,"LEGO brick")</f>
        <v>0</v>
      </c>
      <c r="AB52" s="37" t="n">
        <f aca="false">SUMIFS('Raw Data'!$F$2:$F$114,'Raw Data'!$A$2:$A$114,$A52,'Raw Data'!$E$2:$E$114,"WD-40")</f>
        <v>0</v>
      </c>
      <c r="AC52" s="37" t="n">
        <f aca="false">SUMIFS('Raw Data'!$F$2:$F$114,'Raw Data'!$A$2:$A$114,$A52,'Raw Data'!$E$2:$E$114,"Creeper infinity cube")</f>
        <v>0</v>
      </c>
      <c r="AD52" s="37" t="n">
        <f aca="false">SUMIFS('Raw Data'!$F$2:$F$114,'Raw Data'!$A$2:$A$114,$A52,'Raw Data'!$E$2:$E$114,"Burger")</f>
        <v>0</v>
      </c>
      <c r="AE52" s="37" t="n">
        <f aca="false">SUMIFS('Raw Data'!$F$2:$F$114,'Raw Data'!$A$2:$A$114,$A52,'Raw Data'!$E$2:$E$114,"Full kit")</f>
        <v>0</v>
      </c>
      <c r="AF52" s="37" t="n">
        <f aca="false">SUMIFS('Raw Data'!$F$2:$F$114,'Raw Data'!$A$2:$A$114,$A52,'Raw Data'!$E$2:$E$114,"Kit w/ toroidal")</f>
        <v>0</v>
      </c>
    </row>
    <row r="53" customFormat="false" ht="15" hidden="false" customHeight="false" outlineLevel="0" collapsed="false">
      <c r="A53" s="17" t="s">
        <v>350</v>
      </c>
      <c r="B53" s="38" t="n">
        <v>46312.5012152778</v>
      </c>
      <c r="C53" s="38" t="n">
        <v>46312.50125</v>
      </c>
      <c r="D53" s="16" t="n">
        <f aca="false">(C53-B53)*86400</f>
        <v>3</v>
      </c>
      <c r="E53" s="17" t="s">
        <v>251</v>
      </c>
      <c r="F53" s="17" t="s">
        <v>255</v>
      </c>
      <c r="G53" s="16" t="n">
        <f aca="false">SUMIFS('Raw Data'!$G$2:$G$114,'Raw Data'!$A$2:$A$114,A53)</f>
        <v>7</v>
      </c>
      <c r="H53" s="16" t="n">
        <f aca="false">SUMIFS('Raw Data'!$F$2:$F$114,'Raw Data'!$A$2:$A$114,A53)</f>
        <v>2</v>
      </c>
      <c r="I53" s="16" t="n">
        <f aca="false">SUMIFS('Raw Data'!$K$2:$K$114,'Raw Data'!$A$2:$A$114,A53)</f>
        <v>0</v>
      </c>
      <c r="J53" s="16" t="n">
        <f aca="false">COUNTIF(Q53:AF53,"&gt;0")</f>
        <v>2</v>
      </c>
      <c r="K53" s="16" t="n">
        <f aca="false">COUNTIF(L53:P53,"&gt;0")</f>
        <v>2</v>
      </c>
      <c r="L53" s="37" t="n">
        <f aca="false">SUMIFS('Raw Data'!$F$2:$F$114,'Raw Data'!$A$2:$A$114,$A53,'Raw Data'!$L$2:$L$114,"Asian food")</f>
        <v>0</v>
      </c>
      <c r="M53" s="37" t="n">
        <f aca="false">SUMIFS('Raw Data'!$F$2:$F$114,'Raw Data'!$A$2:$A$114,$A53,'Raw Data'!$L$2:$L$114,"Snacks &amp; treats")</f>
        <v>1</v>
      </c>
      <c r="N53" s="37" t="n">
        <f aca="false">SUMIFS('Raw Data'!$F$2:$F$114,'Raw Data'!$A$2:$A$114,$A53,'Raw Data'!$L$2:$L$114,"Minecraft")</f>
        <v>0</v>
      </c>
      <c r="O53" s="37" t="n">
        <f aca="false">SUMIFS('Raw Data'!$F$2:$F$114,'Raw Data'!$A$2:$A$114,$A53,'Raw Data'!$L$2:$L$114,"Workshop")</f>
        <v>1</v>
      </c>
      <c r="P53" s="37" t="n">
        <f aca="false">SUMIFS('Raw Data'!$F$2:$F$114,'Raw Data'!$A$2:$A$114,$A53,'Raw Data'!$L$2:$L$114,"Copters")</f>
        <v>0</v>
      </c>
      <c r="Q53" s="37" t="n">
        <f aca="false">SUMIFS('Raw Data'!$F$2:$F$114,'Raw Data'!$A$2:$A$114,$A53,'Raw Data'!$E$2:$E$114,"Egg tart")</f>
        <v>0</v>
      </c>
      <c r="R53" s="37" t="n">
        <f aca="false">SUMIFS('Raw Data'!$F$2:$F$114,'Raw Data'!$A$2:$A$114,$A53,'Raw Data'!$E$2:$E$114,"Hot dog bun")</f>
        <v>1</v>
      </c>
      <c r="S53" s="37" t="n">
        <f aca="false">SUMIFS('Raw Data'!$F$2:$F$114,'Raw Data'!$A$2:$A$114,$A53,'Raw Data'!$E$2:$E$114,"S'mores")</f>
        <v>0</v>
      </c>
      <c r="T53" s="37" t="n">
        <f aca="false">SUMIFS('Raw Data'!$F$2:$F$114,'Raw Data'!$A$2:$A$114,$A53,'Raw Data'!$E$2:$E$114,"Chocolate bar")</f>
        <v>0</v>
      </c>
      <c r="U53" s="37" t="n">
        <f aca="false">SUMIFS('Raw Data'!$F$2:$F$114,'Raw Data'!$A$2:$A$114,$A53,'Raw Data'!$E$2:$E$114,"Avocado")</f>
        <v>0</v>
      </c>
      <c r="V53" s="37" t="n">
        <f aca="false">SUMIFS('Raw Data'!$F$2:$F$114,'Raw Data'!$A$2:$A$114,$A53,'Raw Data'!$E$2:$E$114,"Dumpling")</f>
        <v>0</v>
      </c>
      <c r="W53" s="37" t="n">
        <f aca="false">SUMIFS('Raw Data'!$F$2:$F$114,'Raw Data'!$A$2:$A$114,$A53,'Raw Data'!$E$2:$E$114,"Creeper")</f>
        <v>0</v>
      </c>
      <c r="X53" s="37" t="n">
        <f aca="false">SUMIFS('Raw Data'!$F$2:$F$114,'Raw Data'!$A$2:$A$114,$A53,'Raw Data'!$E$2:$E$114,"Oreo")</f>
        <v>0</v>
      </c>
      <c r="Y53" s="37" t="n">
        <f aca="false">SUMIFS('Raw Data'!$F$2:$F$114,'Raw Data'!$A$2:$A$114,$A53,'Raw Data'!$E$2:$E$114,"Spam musubi")</f>
        <v>0</v>
      </c>
      <c r="Z53" s="37" t="n">
        <f aca="false">SUMIFS('Raw Data'!$F$2:$F$114,'Raw Data'!$A$2:$A$114,$A53,'Raw Data'!$E$2:$E$114,"Salmon nigiri")</f>
        <v>0</v>
      </c>
      <c r="AA53" s="37" t="n">
        <f aca="false">SUMIFS('Raw Data'!$F$2:$F$114,'Raw Data'!$A$2:$A$114,$A53,'Raw Data'!$E$2:$E$114,"LEGO brick")</f>
        <v>0</v>
      </c>
      <c r="AB53" s="37" t="n">
        <f aca="false">SUMIFS('Raw Data'!$F$2:$F$114,'Raw Data'!$A$2:$A$114,$A53,'Raw Data'!$E$2:$E$114,"WD-40")</f>
        <v>1</v>
      </c>
      <c r="AC53" s="37" t="n">
        <f aca="false">SUMIFS('Raw Data'!$F$2:$F$114,'Raw Data'!$A$2:$A$114,$A53,'Raw Data'!$E$2:$E$114,"Creeper infinity cube")</f>
        <v>0</v>
      </c>
      <c r="AD53" s="37" t="n">
        <f aca="false">SUMIFS('Raw Data'!$F$2:$F$114,'Raw Data'!$A$2:$A$114,$A53,'Raw Data'!$E$2:$E$114,"Burger")</f>
        <v>0</v>
      </c>
      <c r="AE53" s="37" t="n">
        <f aca="false">SUMIFS('Raw Data'!$F$2:$F$114,'Raw Data'!$A$2:$A$114,$A53,'Raw Data'!$E$2:$E$114,"Full kit")</f>
        <v>0</v>
      </c>
      <c r="AF53" s="37" t="n">
        <f aca="false">SUMIFS('Raw Data'!$F$2:$F$114,'Raw Data'!$A$2:$A$114,$A53,'Raw Data'!$E$2:$E$114,"Kit w/ toroidal")</f>
        <v>0</v>
      </c>
    </row>
    <row r="54" customFormat="false" ht="15" hidden="false" customHeight="false" outlineLevel="0" collapsed="false">
      <c r="A54" s="17" t="s">
        <v>351</v>
      </c>
      <c r="B54" s="38" t="n">
        <v>46312.5036458333</v>
      </c>
      <c r="C54" s="38" t="n">
        <v>46312.5045717593</v>
      </c>
      <c r="D54" s="16" t="n">
        <f aca="false">(C54-B54)*86400</f>
        <v>80</v>
      </c>
      <c r="E54" s="17"/>
      <c r="F54" s="17"/>
      <c r="G54" s="16" t="n">
        <f aca="false">SUMIFS('Raw Data'!$G$2:$G$114,'Raw Data'!$A$2:$A$114,A54)</f>
        <v>10</v>
      </c>
      <c r="H54" s="16" t="n">
        <f aca="false">SUMIFS('Raw Data'!$F$2:$F$114,'Raw Data'!$A$2:$A$114,A54)</f>
        <v>3</v>
      </c>
      <c r="I54" s="16" t="n">
        <f aca="false">SUMIFS('Raw Data'!$K$2:$K$114,'Raw Data'!$A$2:$A$114,A54)</f>
        <v>1</v>
      </c>
      <c r="J54" s="16" t="n">
        <f aca="false">COUNTIF(Q54:AF54,"&gt;0")</f>
        <v>3</v>
      </c>
      <c r="K54" s="16" t="n">
        <f aca="false">COUNTIF(L54:P54,"&gt;0")</f>
        <v>2</v>
      </c>
      <c r="L54" s="37" t="n">
        <f aca="false">SUMIFS('Raw Data'!$F$2:$F$114,'Raw Data'!$A$2:$A$114,$A54,'Raw Data'!$L$2:$L$114,"Asian food")</f>
        <v>2</v>
      </c>
      <c r="M54" s="37" t="n">
        <f aca="false">SUMIFS('Raw Data'!$F$2:$F$114,'Raw Data'!$A$2:$A$114,$A54,'Raw Data'!$L$2:$L$114,"Snacks &amp; treats")</f>
        <v>1</v>
      </c>
      <c r="N54" s="37" t="n">
        <f aca="false">SUMIFS('Raw Data'!$F$2:$F$114,'Raw Data'!$A$2:$A$114,$A54,'Raw Data'!$L$2:$L$114,"Minecraft")</f>
        <v>0</v>
      </c>
      <c r="O54" s="37" t="n">
        <f aca="false">SUMIFS('Raw Data'!$F$2:$F$114,'Raw Data'!$A$2:$A$114,$A54,'Raw Data'!$L$2:$L$114,"Workshop")</f>
        <v>0</v>
      </c>
      <c r="P54" s="37" t="n">
        <f aca="false">SUMIFS('Raw Data'!$F$2:$F$114,'Raw Data'!$A$2:$A$114,$A54,'Raw Data'!$L$2:$L$114,"Copters")</f>
        <v>0</v>
      </c>
      <c r="Q54" s="37" t="n">
        <f aca="false">SUMIFS('Raw Data'!$F$2:$F$114,'Raw Data'!$A$2:$A$114,$A54,'Raw Data'!$E$2:$E$114,"Egg tart")</f>
        <v>1</v>
      </c>
      <c r="R54" s="37" t="n">
        <f aca="false">SUMIFS('Raw Data'!$F$2:$F$114,'Raw Data'!$A$2:$A$114,$A54,'Raw Data'!$E$2:$E$114,"Hot dog bun")</f>
        <v>0</v>
      </c>
      <c r="S54" s="37" t="n">
        <f aca="false">SUMIFS('Raw Data'!$F$2:$F$114,'Raw Data'!$A$2:$A$114,$A54,'Raw Data'!$E$2:$E$114,"S'mores")</f>
        <v>0</v>
      </c>
      <c r="T54" s="37" t="n">
        <f aca="false">SUMIFS('Raw Data'!$F$2:$F$114,'Raw Data'!$A$2:$A$114,$A54,'Raw Data'!$E$2:$E$114,"Chocolate bar")</f>
        <v>0</v>
      </c>
      <c r="U54" s="37" t="n">
        <f aca="false">SUMIFS('Raw Data'!$F$2:$F$114,'Raw Data'!$A$2:$A$114,$A54,'Raw Data'!$E$2:$E$114,"Avocado")</f>
        <v>1</v>
      </c>
      <c r="V54" s="37" t="n">
        <f aca="false">SUMIFS('Raw Data'!$F$2:$F$114,'Raw Data'!$A$2:$A$114,$A54,'Raw Data'!$E$2:$E$114,"Dumpling")</f>
        <v>1</v>
      </c>
      <c r="W54" s="37" t="n">
        <f aca="false">SUMIFS('Raw Data'!$F$2:$F$114,'Raw Data'!$A$2:$A$114,$A54,'Raw Data'!$E$2:$E$114,"Creeper")</f>
        <v>0</v>
      </c>
      <c r="X54" s="37" t="n">
        <f aca="false">SUMIFS('Raw Data'!$F$2:$F$114,'Raw Data'!$A$2:$A$114,$A54,'Raw Data'!$E$2:$E$114,"Oreo")</f>
        <v>0</v>
      </c>
      <c r="Y54" s="37" t="n">
        <f aca="false">SUMIFS('Raw Data'!$F$2:$F$114,'Raw Data'!$A$2:$A$114,$A54,'Raw Data'!$E$2:$E$114,"Spam musubi")</f>
        <v>0</v>
      </c>
      <c r="Z54" s="37" t="n">
        <f aca="false">SUMIFS('Raw Data'!$F$2:$F$114,'Raw Data'!$A$2:$A$114,$A54,'Raw Data'!$E$2:$E$114,"Salmon nigiri")</f>
        <v>0</v>
      </c>
      <c r="AA54" s="37" t="n">
        <f aca="false">SUMIFS('Raw Data'!$F$2:$F$114,'Raw Data'!$A$2:$A$114,$A54,'Raw Data'!$E$2:$E$114,"LEGO brick")</f>
        <v>0</v>
      </c>
      <c r="AB54" s="37" t="n">
        <f aca="false">SUMIFS('Raw Data'!$F$2:$F$114,'Raw Data'!$A$2:$A$114,$A54,'Raw Data'!$E$2:$E$114,"WD-40")</f>
        <v>0</v>
      </c>
      <c r="AC54" s="37" t="n">
        <f aca="false">SUMIFS('Raw Data'!$F$2:$F$114,'Raw Data'!$A$2:$A$114,$A54,'Raw Data'!$E$2:$E$114,"Creeper infinity cube")</f>
        <v>0</v>
      </c>
      <c r="AD54" s="37" t="n">
        <f aca="false">SUMIFS('Raw Data'!$F$2:$F$114,'Raw Data'!$A$2:$A$114,$A54,'Raw Data'!$E$2:$E$114,"Burger")</f>
        <v>0</v>
      </c>
      <c r="AE54" s="37" t="n">
        <f aca="false">SUMIFS('Raw Data'!$F$2:$F$114,'Raw Data'!$A$2:$A$114,$A54,'Raw Data'!$E$2:$E$114,"Full kit")</f>
        <v>0</v>
      </c>
      <c r="AF54" s="37" t="n">
        <f aca="false">SUMIFS('Raw Data'!$F$2:$F$114,'Raw Data'!$A$2:$A$114,$A54,'Raw Data'!$E$2:$E$114,"Kit w/ toroidal")</f>
        <v>0</v>
      </c>
    </row>
    <row r="55" customFormat="false" ht="15" hidden="false" customHeight="false" outlineLevel="0" collapsed="false">
      <c r="A55" s="17" t="s">
        <v>352</v>
      </c>
      <c r="B55" s="38" t="n">
        <v>46312.5097106482</v>
      </c>
      <c r="C55" s="38" t="n">
        <v>46312.5102662037</v>
      </c>
      <c r="D55" s="16" t="n">
        <f aca="false">(C55-B55)*86400</f>
        <v>48</v>
      </c>
      <c r="E55" s="17" t="s">
        <v>252</v>
      </c>
      <c r="F55" s="17" t="s">
        <v>256</v>
      </c>
      <c r="G55" s="16" t="n">
        <f aca="false">SUMIFS('Raw Data'!$G$2:$G$114,'Raw Data'!$A$2:$A$114,A55)</f>
        <v>7</v>
      </c>
      <c r="H55" s="16" t="n">
        <f aca="false">SUMIFS('Raw Data'!$F$2:$F$114,'Raw Data'!$A$2:$A$114,A55)</f>
        <v>2</v>
      </c>
      <c r="I55" s="16" t="n">
        <f aca="false">SUMIFS('Raw Data'!$K$2:$K$114,'Raw Data'!$A$2:$A$114,A55)</f>
        <v>0</v>
      </c>
      <c r="J55" s="16" t="n">
        <f aca="false">COUNTIF(Q55:AF55,"&gt;0")</f>
        <v>2</v>
      </c>
      <c r="K55" s="16" t="n">
        <f aca="false">COUNTIF(L55:P55,"&gt;0")</f>
        <v>1</v>
      </c>
      <c r="L55" s="37" t="n">
        <f aca="false">SUMIFS('Raw Data'!$F$2:$F$114,'Raw Data'!$A$2:$A$114,$A55,'Raw Data'!$L$2:$L$114,"Asian food")</f>
        <v>2</v>
      </c>
      <c r="M55" s="37" t="n">
        <f aca="false">SUMIFS('Raw Data'!$F$2:$F$114,'Raw Data'!$A$2:$A$114,$A55,'Raw Data'!$L$2:$L$114,"Snacks &amp; treats")</f>
        <v>0</v>
      </c>
      <c r="N55" s="37" t="n">
        <f aca="false">SUMIFS('Raw Data'!$F$2:$F$114,'Raw Data'!$A$2:$A$114,$A55,'Raw Data'!$L$2:$L$114,"Minecraft")</f>
        <v>0</v>
      </c>
      <c r="O55" s="37" t="n">
        <f aca="false">SUMIFS('Raw Data'!$F$2:$F$114,'Raw Data'!$A$2:$A$114,$A55,'Raw Data'!$L$2:$L$114,"Workshop")</f>
        <v>0</v>
      </c>
      <c r="P55" s="37" t="n">
        <f aca="false">SUMIFS('Raw Data'!$F$2:$F$114,'Raw Data'!$A$2:$A$114,$A55,'Raw Data'!$L$2:$L$114,"Copters")</f>
        <v>0</v>
      </c>
      <c r="Q55" s="37" t="n">
        <f aca="false">SUMIFS('Raw Data'!$F$2:$F$114,'Raw Data'!$A$2:$A$114,$A55,'Raw Data'!$E$2:$E$114,"Egg tart")</f>
        <v>0</v>
      </c>
      <c r="R55" s="37" t="n">
        <f aca="false">SUMIFS('Raw Data'!$F$2:$F$114,'Raw Data'!$A$2:$A$114,$A55,'Raw Data'!$E$2:$E$114,"Hot dog bun")</f>
        <v>0</v>
      </c>
      <c r="S55" s="37" t="n">
        <f aca="false">SUMIFS('Raw Data'!$F$2:$F$114,'Raw Data'!$A$2:$A$114,$A55,'Raw Data'!$E$2:$E$114,"S'mores")</f>
        <v>0</v>
      </c>
      <c r="T55" s="37" t="n">
        <f aca="false">SUMIFS('Raw Data'!$F$2:$F$114,'Raw Data'!$A$2:$A$114,$A55,'Raw Data'!$E$2:$E$114,"Chocolate bar")</f>
        <v>0</v>
      </c>
      <c r="U55" s="37" t="n">
        <f aca="false">SUMIFS('Raw Data'!$F$2:$F$114,'Raw Data'!$A$2:$A$114,$A55,'Raw Data'!$E$2:$E$114,"Avocado")</f>
        <v>0</v>
      </c>
      <c r="V55" s="37" t="n">
        <f aca="false">SUMIFS('Raw Data'!$F$2:$F$114,'Raw Data'!$A$2:$A$114,$A55,'Raw Data'!$E$2:$E$114,"Dumpling")</f>
        <v>1</v>
      </c>
      <c r="W55" s="37" t="n">
        <f aca="false">SUMIFS('Raw Data'!$F$2:$F$114,'Raw Data'!$A$2:$A$114,$A55,'Raw Data'!$E$2:$E$114,"Creeper")</f>
        <v>0</v>
      </c>
      <c r="X55" s="37" t="n">
        <f aca="false">SUMIFS('Raw Data'!$F$2:$F$114,'Raw Data'!$A$2:$A$114,$A55,'Raw Data'!$E$2:$E$114,"Oreo")</f>
        <v>0</v>
      </c>
      <c r="Y55" s="37" t="n">
        <f aca="false">SUMIFS('Raw Data'!$F$2:$F$114,'Raw Data'!$A$2:$A$114,$A55,'Raw Data'!$E$2:$E$114,"Spam musubi")</f>
        <v>0</v>
      </c>
      <c r="Z55" s="37" t="n">
        <f aca="false">SUMIFS('Raw Data'!$F$2:$F$114,'Raw Data'!$A$2:$A$114,$A55,'Raw Data'!$E$2:$E$114,"Salmon nigiri")</f>
        <v>1</v>
      </c>
      <c r="AA55" s="37" t="n">
        <f aca="false">SUMIFS('Raw Data'!$F$2:$F$114,'Raw Data'!$A$2:$A$114,$A55,'Raw Data'!$E$2:$E$114,"LEGO brick")</f>
        <v>0</v>
      </c>
      <c r="AB55" s="37" t="n">
        <f aca="false">SUMIFS('Raw Data'!$F$2:$F$114,'Raw Data'!$A$2:$A$114,$A55,'Raw Data'!$E$2:$E$114,"WD-40")</f>
        <v>0</v>
      </c>
      <c r="AC55" s="37" t="n">
        <f aca="false">SUMIFS('Raw Data'!$F$2:$F$114,'Raw Data'!$A$2:$A$114,$A55,'Raw Data'!$E$2:$E$114,"Creeper infinity cube")</f>
        <v>0</v>
      </c>
      <c r="AD55" s="37" t="n">
        <f aca="false">SUMIFS('Raw Data'!$F$2:$F$114,'Raw Data'!$A$2:$A$114,$A55,'Raw Data'!$E$2:$E$114,"Burger")</f>
        <v>0</v>
      </c>
      <c r="AE55" s="37" t="n">
        <f aca="false">SUMIFS('Raw Data'!$F$2:$F$114,'Raw Data'!$A$2:$A$114,$A55,'Raw Data'!$E$2:$E$114,"Full kit")</f>
        <v>0</v>
      </c>
      <c r="AF55" s="37" t="n">
        <f aca="false">SUMIFS('Raw Data'!$F$2:$F$114,'Raw Data'!$A$2:$A$114,$A55,'Raw Data'!$E$2:$E$114,"Kit w/ toroidal")</f>
        <v>0</v>
      </c>
    </row>
    <row r="56" customFormat="false" ht="15" hidden="false" customHeight="false" outlineLevel="0" collapsed="false">
      <c r="A56" s="17" t="s">
        <v>353</v>
      </c>
      <c r="B56" s="38" t="n">
        <v>46312.5115509259</v>
      </c>
      <c r="C56" s="38" t="n">
        <v>46312.5115972222</v>
      </c>
      <c r="D56" s="16" t="n">
        <f aca="false">(C56-B56)*86400</f>
        <v>4</v>
      </c>
      <c r="E56" s="17"/>
      <c r="F56" s="17"/>
      <c r="G56" s="16" t="n">
        <f aca="false">SUMIFS('Raw Data'!$G$2:$G$114,'Raw Data'!$A$2:$A$114,A56)</f>
        <v>5</v>
      </c>
      <c r="H56" s="16" t="n">
        <f aca="false">SUMIFS('Raw Data'!$F$2:$F$114,'Raw Data'!$A$2:$A$114,A56)</f>
        <v>1</v>
      </c>
      <c r="I56" s="16" t="n">
        <f aca="false">SUMIFS('Raw Data'!$K$2:$K$114,'Raw Data'!$A$2:$A$114,A56)</f>
        <v>0</v>
      </c>
      <c r="J56" s="16" t="n">
        <f aca="false">COUNTIF(Q56:AF56,"&gt;0")</f>
        <v>1</v>
      </c>
      <c r="K56" s="16" t="n">
        <f aca="false">COUNTIF(L56:P56,"&gt;0")</f>
        <v>1</v>
      </c>
      <c r="L56" s="37" t="n">
        <f aca="false">SUMIFS('Raw Data'!$F$2:$F$114,'Raw Data'!$A$2:$A$114,$A56,'Raw Data'!$L$2:$L$114,"Asian food")</f>
        <v>0</v>
      </c>
      <c r="M56" s="37" t="n">
        <f aca="false">SUMIFS('Raw Data'!$F$2:$F$114,'Raw Data'!$A$2:$A$114,$A56,'Raw Data'!$L$2:$L$114,"Snacks &amp; treats")</f>
        <v>0</v>
      </c>
      <c r="N56" s="37" t="n">
        <f aca="false">SUMIFS('Raw Data'!$F$2:$F$114,'Raw Data'!$A$2:$A$114,$A56,'Raw Data'!$L$2:$L$114,"Minecraft")</f>
        <v>0</v>
      </c>
      <c r="O56" s="37" t="n">
        <f aca="false">SUMIFS('Raw Data'!$F$2:$F$114,'Raw Data'!$A$2:$A$114,$A56,'Raw Data'!$L$2:$L$114,"Workshop")</f>
        <v>0</v>
      </c>
      <c r="P56" s="37" t="n">
        <f aca="false">SUMIFS('Raw Data'!$F$2:$F$114,'Raw Data'!$A$2:$A$114,$A56,'Raw Data'!$L$2:$L$114,"Copters")</f>
        <v>1</v>
      </c>
      <c r="Q56" s="37" t="n">
        <f aca="false">SUMIFS('Raw Data'!$F$2:$F$114,'Raw Data'!$A$2:$A$114,$A56,'Raw Data'!$E$2:$E$114,"Egg tart")</f>
        <v>0</v>
      </c>
      <c r="R56" s="37" t="n">
        <f aca="false">SUMIFS('Raw Data'!$F$2:$F$114,'Raw Data'!$A$2:$A$114,$A56,'Raw Data'!$E$2:$E$114,"Hot dog bun")</f>
        <v>0</v>
      </c>
      <c r="S56" s="37" t="n">
        <f aca="false">SUMIFS('Raw Data'!$F$2:$F$114,'Raw Data'!$A$2:$A$114,$A56,'Raw Data'!$E$2:$E$114,"S'mores")</f>
        <v>0</v>
      </c>
      <c r="T56" s="37" t="n">
        <f aca="false">SUMIFS('Raw Data'!$F$2:$F$114,'Raw Data'!$A$2:$A$114,$A56,'Raw Data'!$E$2:$E$114,"Chocolate bar")</f>
        <v>0</v>
      </c>
      <c r="U56" s="37" t="n">
        <f aca="false">SUMIFS('Raw Data'!$F$2:$F$114,'Raw Data'!$A$2:$A$114,$A56,'Raw Data'!$E$2:$E$114,"Avocado")</f>
        <v>0</v>
      </c>
      <c r="V56" s="37" t="n">
        <f aca="false">SUMIFS('Raw Data'!$F$2:$F$114,'Raw Data'!$A$2:$A$114,$A56,'Raw Data'!$E$2:$E$114,"Dumpling")</f>
        <v>0</v>
      </c>
      <c r="W56" s="37" t="n">
        <f aca="false">SUMIFS('Raw Data'!$F$2:$F$114,'Raw Data'!$A$2:$A$114,$A56,'Raw Data'!$E$2:$E$114,"Creeper")</f>
        <v>0</v>
      </c>
      <c r="X56" s="37" t="n">
        <f aca="false">SUMIFS('Raw Data'!$F$2:$F$114,'Raw Data'!$A$2:$A$114,$A56,'Raw Data'!$E$2:$E$114,"Oreo")</f>
        <v>0</v>
      </c>
      <c r="Y56" s="37" t="n">
        <f aca="false">SUMIFS('Raw Data'!$F$2:$F$114,'Raw Data'!$A$2:$A$114,$A56,'Raw Data'!$E$2:$E$114,"Spam musubi")</f>
        <v>0</v>
      </c>
      <c r="Z56" s="37" t="n">
        <f aca="false">SUMIFS('Raw Data'!$F$2:$F$114,'Raw Data'!$A$2:$A$114,$A56,'Raw Data'!$E$2:$E$114,"Salmon nigiri")</f>
        <v>0</v>
      </c>
      <c r="AA56" s="37" t="n">
        <f aca="false">SUMIFS('Raw Data'!$F$2:$F$114,'Raw Data'!$A$2:$A$114,$A56,'Raw Data'!$E$2:$E$114,"LEGO brick")</f>
        <v>0</v>
      </c>
      <c r="AB56" s="37" t="n">
        <f aca="false">SUMIFS('Raw Data'!$F$2:$F$114,'Raw Data'!$A$2:$A$114,$A56,'Raw Data'!$E$2:$E$114,"WD-40")</f>
        <v>0</v>
      </c>
      <c r="AC56" s="37" t="n">
        <f aca="false">SUMIFS('Raw Data'!$F$2:$F$114,'Raw Data'!$A$2:$A$114,$A56,'Raw Data'!$E$2:$E$114,"Creeper infinity cube")</f>
        <v>0</v>
      </c>
      <c r="AD56" s="37" t="n">
        <f aca="false">SUMIFS('Raw Data'!$F$2:$F$114,'Raw Data'!$A$2:$A$114,$A56,'Raw Data'!$E$2:$E$114,"Burger")</f>
        <v>0</v>
      </c>
      <c r="AE56" s="37" t="n">
        <f aca="false">SUMIFS('Raw Data'!$F$2:$F$114,'Raw Data'!$A$2:$A$114,$A56,'Raw Data'!$E$2:$E$114,"Full kit")</f>
        <v>1</v>
      </c>
      <c r="AF56" s="37" t="n">
        <f aca="false">SUMIFS('Raw Data'!$F$2:$F$114,'Raw Data'!$A$2:$A$114,$A56,'Raw Data'!$E$2:$E$114,"Kit w/ toroidal")</f>
        <v>0</v>
      </c>
    </row>
    <row r="57" customFormat="false" ht="15" hidden="false" customHeight="false" outlineLevel="0" collapsed="false">
      <c r="A57" s="17" t="s">
        <v>354</v>
      </c>
      <c r="B57" s="38" t="n">
        <v>46312.5138078704</v>
      </c>
      <c r="C57" s="38" t="n">
        <v>46312.5138194444</v>
      </c>
      <c r="D57" s="16" t="n">
        <f aca="false">(C57-B57)*86400</f>
        <v>1</v>
      </c>
      <c r="E57" s="17"/>
      <c r="F57" s="17"/>
      <c r="G57" s="16" t="n">
        <f aca="false">SUMIFS('Raw Data'!$G$2:$G$114,'Raw Data'!$A$2:$A$114,A57)</f>
        <v>4</v>
      </c>
      <c r="H57" s="16" t="n">
        <f aca="false">SUMIFS('Raw Data'!$F$2:$F$114,'Raw Data'!$A$2:$A$114,A57)</f>
        <v>1</v>
      </c>
      <c r="I57" s="16" t="n">
        <f aca="false">SUMIFS('Raw Data'!$K$2:$K$114,'Raw Data'!$A$2:$A$114,A57)</f>
        <v>0</v>
      </c>
      <c r="J57" s="16" t="n">
        <f aca="false">COUNTIF(Q57:AF57,"&gt;0")</f>
        <v>1</v>
      </c>
      <c r="K57" s="16" t="n">
        <f aca="false">COUNTIF(L57:P57,"&gt;0")</f>
        <v>1</v>
      </c>
      <c r="L57" s="37" t="n">
        <f aca="false">SUMIFS('Raw Data'!$F$2:$F$114,'Raw Data'!$A$2:$A$114,$A57,'Raw Data'!$L$2:$L$114,"Asian food")</f>
        <v>0</v>
      </c>
      <c r="M57" s="37" t="n">
        <f aca="false">SUMIFS('Raw Data'!$F$2:$F$114,'Raw Data'!$A$2:$A$114,$A57,'Raw Data'!$L$2:$L$114,"Snacks &amp; treats")</f>
        <v>1</v>
      </c>
      <c r="N57" s="37" t="n">
        <f aca="false">SUMIFS('Raw Data'!$F$2:$F$114,'Raw Data'!$A$2:$A$114,$A57,'Raw Data'!$L$2:$L$114,"Minecraft")</f>
        <v>0</v>
      </c>
      <c r="O57" s="37" t="n">
        <f aca="false">SUMIFS('Raw Data'!$F$2:$F$114,'Raw Data'!$A$2:$A$114,$A57,'Raw Data'!$L$2:$L$114,"Workshop")</f>
        <v>0</v>
      </c>
      <c r="P57" s="37" t="n">
        <f aca="false">SUMIFS('Raw Data'!$F$2:$F$114,'Raw Data'!$A$2:$A$114,$A57,'Raw Data'!$L$2:$L$114,"Copters")</f>
        <v>0</v>
      </c>
      <c r="Q57" s="37" t="n">
        <f aca="false">SUMIFS('Raw Data'!$F$2:$F$114,'Raw Data'!$A$2:$A$114,$A57,'Raw Data'!$E$2:$E$114,"Egg tart")</f>
        <v>0</v>
      </c>
      <c r="R57" s="37" t="n">
        <f aca="false">SUMIFS('Raw Data'!$F$2:$F$114,'Raw Data'!$A$2:$A$114,$A57,'Raw Data'!$E$2:$E$114,"Hot dog bun")</f>
        <v>1</v>
      </c>
      <c r="S57" s="37" t="n">
        <f aca="false">SUMIFS('Raw Data'!$F$2:$F$114,'Raw Data'!$A$2:$A$114,$A57,'Raw Data'!$E$2:$E$114,"S'mores")</f>
        <v>0</v>
      </c>
      <c r="T57" s="37" t="n">
        <f aca="false">SUMIFS('Raw Data'!$F$2:$F$114,'Raw Data'!$A$2:$A$114,$A57,'Raw Data'!$E$2:$E$114,"Chocolate bar")</f>
        <v>0</v>
      </c>
      <c r="U57" s="37" t="n">
        <f aca="false">SUMIFS('Raw Data'!$F$2:$F$114,'Raw Data'!$A$2:$A$114,$A57,'Raw Data'!$E$2:$E$114,"Avocado")</f>
        <v>0</v>
      </c>
      <c r="V57" s="37" t="n">
        <f aca="false">SUMIFS('Raw Data'!$F$2:$F$114,'Raw Data'!$A$2:$A$114,$A57,'Raw Data'!$E$2:$E$114,"Dumpling")</f>
        <v>0</v>
      </c>
      <c r="W57" s="37" t="n">
        <f aca="false">SUMIFS('Raw Data'!$F$2:$F$114,'Raw Data'!$A$2:$A$114,$A57,'Raw Data'!$E$2:$E$114,"Creeper")</f>
        <v>0</v>
      </c>
      <c r="X57" s="37" t="n">
        <f aca="false">SUMIFS('Raw Data'!$F$2:$F$114,'Raw Data'!$A$2:$A$114,$A57,'Raw Data'!$E$2:$E$114,"Oreo")</f>
        <v>0</v>
      </c>
      <c r="Y57" s="37" t="n">
        <f aca="false">SUMIFS('Raw Data'!$F$2:$F$114,'Raw Data'!$A$2:$A$114,$A57,'Raw Data'!$E$2:$E$114,"Spam musubi")</f>
        <v>0</v>
      </c>
      <c r="Z57" s="37" t="n">
        <f aca="false">SUMIFS('Raw Data'!$F$2:$F$114,'Raw Data'!$A$2:$A$114,$A57,'Raw Data'!$E$2:$E$114,"Salmon nigiri")</f>
        <v>0</v>
      </c>
      <c r="AA57" s="37" t="n">
        <f aca="false">SUMIFS('Raw Data'!$F$2:$F$114,'Raw Data'!$A$2:$A$114,$A57,'Raw Data'!$E$2:$E$114,"LEGO brick")</f>
        <v>0</v>
      </c>
      <c r="AB57" s="37" t="n">
        <f aca="false">SUMIFS('Raw Data'!$F$2:$F$114,'Raw Data'!$A$2:$A$114,$A57,'Raw Data'!$E$2:$E$114,"WD-40")</f>
        <v>0</v>
      </c>
      <c r="AC57" s="37" t="n">
        <f aca="false">SUMIFS('Raw Data'!$F$2:$F$114,'Raw Data'!$A$2:$A$114,$A57,'Raw Data'!$E$2:$E$114,"Creeper infinity cube")</f>
        <v>0</v>
      </c>
      <c r="AD57" s="37" t="n">
        <f aca="false">SUMIFS('Raw Data'!$F$2:$F$114,'Raw Data'!$A$2:$A$114,$A57,'Raw Data'!$E$2:$E$114,"Burger")</f>
        <v>0</v>
      </c>
      <c r="AE57" s="37" t="n">
        <f aca="false">SUMIFS('Raw Data'!$F$2:$F$114,'Raw Data'!$A$2:$A$114,$A57,'Raw Data'!$E$2:$E$114,"Full kit")</f>
        <v>0</v>
      </c>
      <c r="AF57" s="37" t="n">
        <f aca="false">SUMIFS('Raw Data'!$F$2:$F$114,'Raw Data'!$A$2:$A$114,$A57,'Raw Data'!$E$2:$E$114,"Kit w/ toroidal")</f>
        <v>0</v>
      </c>
    </row>
    <row r="58" customFormat="false" ht="15" hidden="false" customHeight="false" outlineLevel="0" collapsed="false">
      <c r="A58" s="17" t="s">
        <v>355</v>
      </c>
      <c r="B58" s="38" t="n">
        <v>46312.5155208333</v>
      </c>
      <c r="C58" s="38" t="n">
        <v>46312.515787037</v>
      </c>
      <c r="D58" s="16" t="n">
        <f aca="false">(C58-B58)*86400</f>
        <v>23</v>
      </c>
      <c r="E58" s="17"/>
      <c r="F58" s="17"/>
      <c r="G58" s="16" t="n">
        <f aca="false">SUMIFS('Raw Data'!$G$2:$G$114,'Raw Data'!$A$2:$A$114,A58)</f>
        <v>4</v>
      </c>
      <c r="H58" s="16" t="n">
        <f aca="false">SUMIFS('Raw Data'!$F$2:$F$114,'Raw Data'!$A$2:$A$114,A58)</f>
        <v>1</v>
      </c>
      <c r="I58" s="16" t="n">
        <f aca="false">SUMIFS('Raw Data'!$K$2:$K$114,'Raw Data'!$A$2:$A$114,A58)</f>
        <v>0</v>
      </c>
      <c r="J58" s="16" t="n">
        <f aca="false">COUNTIF(Q58:AF58,"&gt;0")</f>
        <v>1</v>
      </c>
      <c r="K58" s="16" t="n">
        <f aca="false">COUNTIF(L58:P58,"&gt;0")</f>
        <v>1</v>
      </c>
      <c r="L58" s="37" t="n">
        <f aca="false">SUMIFS('Raw Data'!$F$2:$F$114,'Raw Data'!$A$2:$A$114,$A58,'Raw Data'!$L$2:$L$114,"Asian food")</f>
        <v>0</v>
      </c>
      <c r="M58" s="37" t="n">
        <f aca="false">SUMIFS('Raw Data'!$F$2:$F$114,'Raw Data'!$A$2:$A$114,$A58,'Raw Data'!$L$2:$L$114,"Snacks &amp; treats")</f>
        <v>1</v>
      </c>
      <c r="N58" s="37" t="n">
        <f aca="false">SUMIFS('Raw Data'!$F$2:$F$114,'Raw Data'!$A$2:$A$114,$A58,'Raw Data'!$L$2:$L$114,"Minecraft")</f>
        <v>0</v>
      </c>
      <c r="O58" s="37" t="n">
        <f aca="false">SUMIFS('Raw Data'!$F$2:$F$114,'Raw Data'!$A$2:$A$114,$A58,'Raw Data'!$L$2:$L$114,"Workshop")</f>
        <v>0</v>
      </c>
      <c r="P58" s="37" t="n">
        <f aca="false">SUMIFS('Raw Data'!$F$2:$F$114,'Raw Data'!$A$2:$A$114,$A58,'Raw Data'!$L$2:$L$114,"Copters")</f>
        <v>0</v>
      </c>
      <c r="Q58" s="37" t="n">
        <f aca="false">SUMIFS('Raw Data'!$F$2:$F$114,'Raw Data'!$A$2:$A$114,$A58,'Raw Data'!$E$2:$E$114,"Egg tart")</f>
        <v>0</v>
      </c>
      <c r="R58" s="37" t="n">
        <f aca="false">SUMIFS('Raw Data'!$F$2:$F$114,'Raw Data'!$A$2:$A$114,$A58,'Raw Data'!$E$2:$E$114,"Hot dog bun")</f>
        <v>1</v>
      </c>
      <c r="S58" s="37" t="n">
        <f aca="false">SUMIFS('Raw Data'!$F$2:$F$114,'Raw Data'!$A$2:$A$114,$A58,'Raw Data'!$E$2:$E$114,"S'mores")</f>
        <v>0</v>
      </c>
      <c r="T58" s="37" t="n">
        <f aca="false">SUMIFS('Raw Data'!$F$2:$F$114,'Raw Data'!$A$2:$A$114,$A58,'Raw Data'!$E$2:$E$114,"Chocolate bar")</f>
        <v>0</v>
      </c>
      <c r="U58" s="37" t="n">
        <f aca="false">SUMIFS('Raw Data'!$F$2:$F$114,'Raw Data'!$A$2:$A$114,$A58,'Raw Data'!$E$2:$E$114,"Avocado")</f>
        <v>0</v>
      </c>
      <c r="V58" s="37" t="n">
        <f aca="false">SUMIFS('Raw Data'!$F$2:$F$114,'Raw Data'!$A$2:$A$114,$A58,'Raw Data'!$E$2:$E$114,"Dumpling")</f>
        <v>0</v>
      </c>
      <c r="W58" s="37" t="n">
        <f aca="false">SUMIFS('Raw Data'!$F$2:$F$114,'Raw Data'!$A$2:$A$114,$A58,'Raw Data'!$E$2:$E$114,"Creeper")</f>
        <v>0</v>
      </c>
      <c r="X58" s="37" t="n">
        <f aca="false">SUMIFS('Raw Data'!$F$2:$F$114,'Raw Data'!$A$2:$A$114,$A58,'Raw Data'!$E$2:$E$114,"Oreo")</f>
        <v>0</v>
      </c>
      <c r="Y58" s="37" t="n">
        <f aca="false">SUMIFS('Raw Data'!$F$2:$F$114,'Raw Data'!$A$2:$A$114,$A58,'Raw Data'!$E$2:$E$114,"Spam musubi")</f>
        <v>0</v>
      </c>
      <c r="Z58" s="37" t="n">
        <f aca="false">SUMIFS('Raw Data'!$F$2:$F$114,'Raw Data'!$A$2:$A$114,$A58,'Raw Data'!$E$2:$E$114,"Salmon nigiri")</f>
        <v>0</v>
      </c>
      <c r="AA58" s="37" t="n">
        <f aca="false">SUMIFS('Raw Data'!$F$2:$F$114,'Raw Data'!$A$2:$A$114,$A58,'Raw Data'!$E$2:$E$114,"LEGO brick")</f>
        <v>0</v>
      </c>
      <c r="AB58" s="37" t="n">
        <f aca="false">SUMIFS('Raw Data'!$F$2:$F$114,'Raw Data'!$A$2:$A$114,$A58,'Raw Data'!$E$2:$E$114,"WD-40")</f>
        <v>0</v>
      </c>
      <c r="AC58" s="37" t="n">
        <f aca="false">SUMIFS('Raw Data'!$F$2:$F$114,'Raw Data'!$A$2:$A$114,$A58,'Raw Data'!$E$2:$E$114,"Creeper infinity cube")</f>
        <v>0</v>
      </c>
      <c r="AD58" s="37" t="n">
        <f aca="false">SUMIFS('Raw Data'!$F$2:$F$114,'Raw Data'!$A$2:$A$114,$A58,'Raw Data'!$E$2:$E$114,"Burger")</f>
        <v>0</v>
      </c>
      <c r="AE58" s="37" t="n">
        <f aca="false">SUMIFS('Raw Data'!$F$2:$F$114,'Raw Data'!$A$2:$A$114,$A58,'Raw Data'!$E$2:$E$114,"Full kit")</f>
        <v>0</v>
      </c>
      <c r="AF58" s="37" t="n">
        <f aca="false">SUMIFS('Raw Data'!$F$2:$F$114,'Raw Data'!$A$2:$A$114,$A58,'Raw Data'!$E$2:$E$114,"Kit w/ toroidal")</f>
        <v>0</v>
      </c>
    </row>
    <row r="59" customFormat="false" ht="15" hidden="false" customHeight="false" outlineLevel="0" collapsed="false">
      <c r="A59" s="17" t="s">
        <v>356</v>
      </c>
      <c r="B59" s="38" t="n">
        <v>46312.52125</v>
      </c>
      <c r="C59" s="38" t="n">
        <v>46312.5212847222</v>
      </c>
      <c r="D59" s="16" t="n">
        <f aca="false">(C59-B59)*86400</f>
        <v>3</v>
      </c>
      <c r="E59" s="17" t="s">
        <v>251</v>
      </c>
      <c r="F59" s="17" t="s">
        <v>255</v>
      </c>
      <c r="G59" s="16" t="n">
        <f aca="false">SUMIFS('Raw Data'!$G$2:$G$114,'Raw Data'!$A$2:$A$114,A59)</f>
        <v>5</v>
      </c>
      <c r="H59" s="16" t="n">
        <f aca="false">SUMIFS('Raw Data'!$F$2:$F$114,'Raw Data'!$A$2:$A$114,A59)</f>
        <v>1</v>
      </c>
      <c r="I59" s="16" t="n">
        <f aca="false">SUMIFS('Raw Data'!$K$2:$K$114,'Raw Data'!$A$2:$A$114,A59)</f>
        <v>0</v>
      </c>
      <c r="J59" s="16" t="n">
        <f aca="false">COUNTIF(Q59:AF59,"&gt;0")</f>
        <v>1</v>
      </c>
      <c r="K59" s="16" t="n">
        <f aca="false">COUNTIF(L59:P59,"&gt;0")</f>
        <v>1</v>
      </c>
      <c r="L59" s="37" t="n">
        <f aca="false">SUMIFS('Raw Data'!$F$2:$F$114,'Raw Data'!$A$2:$A$114,$A59,'Raw Data'!$L$2:$L$114,"Asian food")</f>
        <v>0</v>
      </c>
      <c r="M59" s="37" t="n">
        <f aca="false">SUMIFS('Raw Data'!$F$2:$F$114,'Raw Data'!$A$2:$A$114,$A59,'Raw Data'!$L$2:$L$114,"Snacks &amp; treats")</f>
        <v>0</v>
      </c>
      <c r="N59" s="37" t="n">
        <f aca="false">SUMIFS('Raw Data'!$F$2:$F$114,'Raw Data'!$A$2:$A$114,$A59,'Raw Data'!$L$2:$L$114,"Minecraft")</f>
        <v>0</v>
      </c>
      <c r="O59" s="37" t="n">
        <f aca="false">SUMIFS('Raw Data'!$F$2:$F$114,'Raw Data'!$A$2:$A$114,$A59,'Raw Data'!$L$2:$L$114,"Workshop")</f>
        <v>0</v>
      </c>
      <c r="P59" s="37" t="n">
        <f aca="false">SUMIFS('Raw Data'!$F$2:$F$114,'Raw Data'!$A$2:$A$114,$A59,'Raw Data'!$L$2:$L$114,"Copters")</f>
        <v>1</v>
      </c>
      <c r="Q59" s="37" t="n">
        <f aca="false">SUMIFS('Raw Data'!$F$2:$F$114,'Raw Data'!$A$2:$A$114,$A59,'Raw Data'!$E$2:$E$114,"Egg tart")</f>
        <v>0</v>
      </c>
      <c r="R59" s="37" t="n">
        <f aca="false">SUMIFS('Raw Data'!$F$2:$F$114,'Raw Data'!$A$2:$A$114,$A59,'Raw Data'!$E$2:$E$114,"Hot dog bun")</f>
        <v>0</v>
      </c>
      <c r="S59" s="37" t="n">
        <f aca="false">SUMIFS('Raw Data'!$F$2:$F$114,'Raw Data'!$A$2:$A$114,$A59,'Raw Data'!$E$2:$E$114,"S'mores")</f>
        <v>0</v>
      </c>
      <c r="T59" s="37" t="n">
        <f aca="false">SUMIFS('Raw Data'!$F$2:$F$114,'Raw Data'!$A$2:$A$114,$A59,'Raw Data'!$E$2:$E$114,"Chocolate bar")</f>
        <v>0</v>
      </c>
      <c r="U59" s="37" t="n">
        <f aca="false">SUMIFS('Raw Data'!$F$2:$F$114,'Raw Data'!$A$2:$A$114,$A59,'Raw Data'!$E$2:$E$114,"Avocado")</f>
        <v>0</v>
      </c>
      <c r="V59" s="37" t="n">
        <f aca="false">SUMIFS('Raw Data'!$F$2:$F$114,'Raw Data'!$A$2:$A$114,$A59,'Raw Data'!$E$2:$E$114,"Dumpling")</f>
        <v>0</v>
      </c>
      <c r="W59" s="37" t="n">
        <f aca="false">SUMIFS('Raw Data'!$F$2:$F$114,'Raw Data'!$A$2:$A$114,$A59,'Raw Data'!$E$2:$E$114,"Creeper")</f>
        <v>0</v>
      </c>
      <c r="X59" s="37" t="n">
        <f aca="false">SUMIFS('Raw Data'!$F$2:$F$114,'Raw Data'!$A$2:$A$114,$A59,'Raw Data'!$E$2:$E$114,"Oreo")</f>
        <v>0</v>
      </c>
      <c r="Y59" s="37" t="n">
        <f aca="false">SUMIFS('Raw Data'!$F$2:$F$114,'Raw Data'!$A$2:$A$114,$A59,'Raw Data'!$E$2:$E$114,"Spam musubi")</f>
        <v>0</v>
      </c>
      <c r="Z59" s="37" t="n">
        <f aca="false">SUMIFS('Raw Data'!$F$2:$F$114,'Raw Data'!$A$2:$A$114,$A59,'Raw Data'!$E$2:$E$114,"Salmon nigiri")</f>
        <v>0</v>
      </c>
      <c r="AA59" s="37" t="n">
        <f aca="false">SUMIFS('Raw Data'!$F$2:$F$114,'Raw Data'!$A$2:$A$114,$A59,'Raw Data'!$E$2:$E$114,"LEGO brick")</f>
        <v>0</v>
      </c>
      <c r="AB59" s="37" t="n">
        <f aca="false">SUMIFS('Raw Data'!$F$2:$F$114,'Raw Data'!$A$2:$A$114,$A59,'Raw Data'!$E$2:$E$114,"WD-40")</f>
        <v>0</v>
      </c>
      <c r="AC59" s="37" t="n">
        <f aca="false">SUMIFS('Raw Data'!$F$2:$F$114,'Raw Data'!$A$2:$A$114,$A59,'Raw Data'!$E$2:$E$114,"Creeper infinity cube")</f>
        <v>0</v>
      </c>
      <c r="AD59" s="37" t="n">
        <f aca="false">SUMIFS('Raw Data'!$F$2:$F$114,'Raw Data'!$A$2:$A$114,$A59,'Raw Data'!$E$2:$E$114,"Burger")</f>
        <v>0</v>
      </c>
      <c r="AE59" s="37" t="n">
        <f aca="false">SUMIFS('Raw Data'!$F$2:$F$114,'Raw Data'!$A$2:$A$114,$A59,'Raw Data'!$E$2:$E$114,"Full kit")</f>
        <v>1</v>
      </c>
      <c r="AF59" s="37" t="n">
        <f aca="false">SUMIFS('Raw Data'!$F$2:$F$114,'Raw Data'!$A$2:$A$114,$A59,'Raw Data'!$E$2:$E$114,"Kit w/ toroidal")</f>
        <v>0</v>
      </c>
    </row>
    <row r="60" customFormat="false" ht="15" hidden="false" customHeight="false" outlineLevel="0" collapsed="false">
      <c r="A60" s="17" t="s">
        <v>357</v>
      </c>
      <c r="B60" s="38" t="n">
        <v>46312.5234259259</v>
      </c>
      <c r="C60" s="38" t="n">
        <v>46312.5237037037</v>
      </c>
      <c r="D60" s="16" t="n">
        <f aca="false">(C60-B60)*86400</f>
        <v>24</v>
      </c>
      <c r="E60" s="17"/>
      <c r="F60" s="17" t="s">
        <v>255</v>
      </c>
      <c r="G60" s="16" t="n">
        <f aca="false">SUMIFS('Raw Data'!$G$2:$G$114,'Raw Data'!$A$2:$A$114,A60)</f>
        <v>7</v>
      </c>
      <c r="H60" s="16" t="n">
        <f aca="false">SUMIFS('Raw Data'!$F$2:$F$114,'Raw Data'!$A$2:$A$114,A60)</f>
        <v>2</v>
      </c>
      <c r="I60" s="16" t="n">
        <f aca="false">SUMIFS('Raw Data'!$K$2:$K$114,'Raw Data'!$A$2:$A$114,A60)</f>
        <v>0</v>
      </c>
      <c r="J60" s="16" t="n">
        <f aca="false">COUNTIF(Q60:AF60,"&gt;0")</f>
        <v>2</v>
      </c>
      <c r="K60" s="16" t="n">
        <f aca="false">COUNTIF(L60:P60,"&gt;0")</f>
        <v>2</v>
      </c>
      <c r="L60" s="37" t="n">
        <f aca="false">SUMIFS('Raw Data'!$F$2:$F$114,'Raw Data'!$A$2:$A$114,$A60,'Raw Data'!$L$2:$L$114,"Asian food")</f>
        <v>1</v>
      </c>
      <c r="M60" s="37" t="n">
        <f aca="false">SUMIFS('Raw Data'!$F$2:$F$114,'Raw Data'!$A$2:$A$114,$A60,'Raw Data'!$L$2:$L$114,"Snacks &amp; treats")</f>
        <v>0</v>
      </c>
      <c r="N60" s="37" t="n">
        <f aca="false">SUMIFS('Raw Data'!$F$2:$F$114,'Raw Data'!$A$2:$A$114,$A60,'Raw Data'!$L$2:$L$114,"Minecraft")</f>
        <v>0</v>
      </c>
      <c r="O60" s="37" t="n">
        <f aca="false">SUMIFS('Raw Data'!$F$2:$F$114,'Raw Data'!$A$2:$A$114,$A60,'Raw Data'!$L$2:$L$114,"Workshop")</f>
        <v>1</v>
      </c>
      <c r="P60" s="37" t="n">
        <f aca="false">SUMIFS('Raw Data'!$F$2:$F$114,'Raw Data'!$A$2:$A$114,$A60,'Raw Data'!$L$2:$L$114,"Copters")</f>
        <v>0</v>
      </c>
      <c r="Q60" s="37" t="n">
        <f aca="false">SUMIFS('Raw Data'!$F$2:$F$114,'Raw Data'!$A$2:$A$114,$A60,'Raw Data'!$E$2:$E$114,"Egg tart")</f>
        <v>0</v>
      </c>
      <c r="R60" s="37" t="n">
        <f aca="false">SUMIFS('Raw Data'!$F$2:$F$114,'Raw Data'!$A$2:$A$114,$A60,'Raw Data'!$E$2:$E$114,"Hot dog bun")</f>
        <v>0</v>
      </c>
      <c r="S60" s="37" t="n">
        <f aca="false">SUMIFS('Raw Data'!$F$2:$F$114,'Raw Data'!$A$2:$A$114,$A60,'Raw Data'!$E$2:$E$114,"S'mores")</f>
        <v>0</v>
      </c>
      <c r="T60" s="37" t="n">
        <f aca="false">SUMIFS('Raw Data'!$F$2:$F$114,'Raw Data'!$A$2:$A$114,$A60,'Raw Data'!$E$2:$E$114,"Chocolate bar")</f>
        <v>0</v>
      </c>
      <c r="U60" s="37" t="n">
        <f aca="false">SUMIFS('Raw Data'!$F$2:$F$114,'Raw Data'!$A$2:$A$114,$A60,'Raw Data'!$E$2:$E$114,"Avocado")</f>
        <v>0</v>
      </c>
      <c r="V60" s="37" t="n">
        <f aca="false">SUMIFS('Raw Data'!$F$2:$F$114,'Raw Data'!$A$2:$A$114,$A60,'Raw Data'!$E$2:$E$114,"Dumpling")</f>
        <v>1</v>
      </c>
      <c r="W60" s="37" t="n">
        <f aca="false">SUMIFS('Raw Data'!$F$2:$F$114,'Raw Data'!$A$2:$A$114,$A60,'Raw Data'!$E$2:$E$114,"Creeper")</f>
        <v>0</v>
      </c>
      <c r="X60" s="37" t="n">
        <f aca="false">SUMIFS('Raw Data'!$F$2:$F$114,'Raw Data'!$A$2:$A$114,$A60,'Raw Data'!$E$2:$E$114,"Oreo")</f>
        <v>0</v>
      </c>
      <c r="Y60" s="37" t="n">
        <f aca="false">SUMIFS('Raw Data'!$F$2:$F$114,'Raw Data'!$A$2:$A$114,$A60,'Raw Data'!$E$2:$E$114,"Spam musubi")</f>
        <v>0</v>
      </c>
      <c r="Z60" s="37" t="n">
        <f aca="false">SUMIFS('Raw Data'!$F$2:$F$114,'Raw Data'!$A$2:$A$114,$A60,'Raw Data'!$E$2:$E$114,"Salmon nigiri")</f>
        <v>0</v>
      </c>
      <c r="AA60" s="37" t="n">
        <f aca="false">SUMIFS('Raw Data'!$F$2:$F$114,'Raw Data'!$A$2:$A$114,$A60,'Raw Data'!$E$2:$E$114,"LEGO brick")</f>
        <v>0</v>
      </c>
      <c r="AB60" s="37" t="n">
        <f aca="false">SUMIFS('Raw Data'!$F$2:$F$114,'Raw Data'!$A$2:$A$114,$A60,'Raw Data'!$E$2:$E$114,"WD-40")</f>
        <v>1</v>
      </c>
      <c r="AC60" s="37" t="n">
        <f aca="false">SUMIFS('Raw Data'!$F$2:$F$114,'Raw Data'!$A$2:$A$114,$A60,'Raw Data'!$E$2:$E$114,"Creeper infinity cube")</f>
        <v>0</v>
      </c>
      <c r="AD60" s="37" t="n">
        <f aca="false">SUMIFS('Raw Data'!$F$2:$F$114,'Raw Data'!$A$2:$A$114,$A60,'Raw Data'!$E$2:$E$114,"Burger")</f>
        <v>0</v>
      </c>
      <c r="AE60" s="37" t="n">
        <f aca="false">SUMIFS('Raw Data'!$F$2:$F$114,'Raw Data'!$A$2:$A$114,$A60,'Raw Data'!$E$2:$E$114,"Full kit")</f>
        <v>0</v>
      </c>
      <c r="AF60" s="37" t="n">
        <f aca="false">SUMIFS('Raw Data'!$F$2:$F$114,'Raw Data'!$A$2:$A$114,$A60,'Raw Data'!$E$2:$E$114,"Kit w/ toroidal")</f>
        <v>0</v>
      </c>
    </row>
    <row r="61" customFormat="false" ht="15" hidden="false" customHeight="false" outlineLevel="0" collapsed="false">
      <c r="A61" s="17" t="s">
        <v>358</v>
      </c>
      <c r="B61" s="38" t="n">
        <v>46312.5238078704</v>
      </c>
      <c r="C61" s="38" t="n">
        <v>46312.5246643519</v>
      </c>
      <c r="D61" s="16" t="n">
        <f aca="false">(C61-B61)*86400</f>
        <v>74</v>
      </c>
      <c r="E61" s="17"/>
      <c r="F61" s="17"/>
      <c r="G61" s="16" t="n">
        <f aca="false">SUMIFS('Raw Data'!$G$2:$G$114,'Raw Data'!$A$2:$A$114,A61)</f>
        <v>10</v>
      </c>
      <c r="H61" s="16" t="n">
        <f aca="false">SUMIFS('Raw Data'!$F$2:$F$114,'Raw Data'!$A$2:$A$114,A61)</f>
        <v>3</v>
      </c>
      <c r="I61" s="16" t="n">
        <f aca="false">SUMIFS('Raw Data'!$K$2:$K$114,'Raw Data'!$A$2:$A$114,A61)</f>
        <v>1</v>
      </c>
      <c r="J61" s="16" t="n">
        <f aca="false">COUNTIF(Q61:AF61,"&gt;0")</f>
        <v>3</v>
      </c>
      <c r="K61" s="16" t="n">
        <f aca="false">COUNTIF(L61:P61,"&gt;0")</f>
        <v>1</v>
      </c>
      <c r="L61" s="37" t="n">
        <f aca="false">SUMIFS('Raw Data'!$F$2:$F$114,'Raw Data'!$A$2:$A$114,$A61,'Raw Data'!$L$2:$L$114,"Asian food")</f>
        <v>3</v>
      </c>
      <c r="M61" s="37" t="n">
        <f aca="false">SUMIFS('Raw Data'!$F$2:$F$114,'Raw Data'!$A$2:$A$114,$A61,'Raw Data'!$L$2:$L$114,"Snacks &amp; treats")</f>
        <v>0</v>
      </c>
      <c r="N61" s="37" t="n">
        <f aca="false">SUMIFS('Raw Data'!$F$2:$F$114,'Raw Data'!$A$2:$A$114,$A61,'Raw Data'!$L$2:$L$114,"Minecraft")</f>
        <v>0</v>
      </c>
      <c r="O61" s="37" t="n">
        <f aca="false">SUMIFS('Raw Data'!$F$2:$F$114,'Raw Data'!$A$2:$A$114,$A61,'Raw Data'!$L$2:$L$114,"Workshop")</f>
        <v>0</v>
      </c>
      <c r="P61" s="37" t="n">
        <f aca="false">SUMIFS('Raw Data'!$F$2:$F$114,'Raw Data'!$A$2:$A$114,$A61,'Raw Data'!$L$2:$L$114,"Copters")</f>
        <v>0</v>
      </c>
      <c r="Q61" s="37" t="n">
        <f aca="false">SUMIFS('Raw Data'!$F$2:$F$114,'Raw Data'!$A$2:$A$114,$A61,'Raw Data'!$E$2:$E$114,"Egg tart")</f>
        <v>1</v>
      </c>
      <c r="R61" s="37" t="n">
        <f aca="false">SUMIFS('Raw Data'!$F$2:$F$114,'Raw Data'!$A$2:$A$114,$A61,'Raw Data'!$E$2:$E$114,"Hot dog bun")</f>
        <v>0</v>
      </c>
      <c r="S61" s="37" t="n">
        <f aca="false">SUMIFS('Raw Data'!$F$2:$F$114,'Raw Data'!$A$2:$A$114,$A61,'Raw Data'!$E$2:$E$114,"S'mores")</f>
        <v>0</v>
      </c>
      <c r="T61" s="37" t="n">
        <f aca="false">SUMIFS('Raw Data'!$F$2:$F$114,'Raw Data'!$A$2:$A$114,$A61,'Raw Data'!$E$2:$E$114,"Chocolate bar")</f>
        <v>0</v>
      </c>
      <c r="U61" s="37" t="n">
        <f aca="false">SUMIFS('Raw Data'!$F$2:$F$114,'Raw Data'!$A$2:$A$114,$A61,'Raw Data'!$E$2:$E$114,"Avocado")</f>
        <v>0</v>
      </c>
      <c r="V61" s="37" t="n">
        <f aca="false">SUMIFS('Raw Data'!$F$2:$F$114,'Raw Data'!$A$2:$A$114,$A61,'Raw Data'!$E$2:$E$114,"Dumpling")</f>
        <v>1</v>
      </c>
      <c r="W61" s="37" t="n">
        <f aca="false">SUMIFS('Raw Data'!$F$2:$F$114,'Raw Data'!$A$2:$A$114,$A61,'Raw Data'!$E$2:$E$114,"Creeper")</f>
        <v>0</v>
      </c>
      <c r="X61" s="37" t="n">
        <f aca="false">SUMIFS('Raw Data'!$F$2:$F$114,'Raw Data'!$A$2:$A$114,$A61,'Raw Data'!$E$2:$E$114,"Oreo")</f>
        <v>0</v>
      </c>
      <c r="Y61" s="37" t="n">
        <f aca="false">SUMIFS('Raw Data'!$F$2:$F$114,'Raw Data'!$A$2:$A$114,$A61,'Raw Data'!$E$2:$E$114,"Spam musubi")</f>
        <v>1</v>
      </c>
      <c r="Z61" s="37" t="n">
        <f aca="false">SUMIFS('Raw Data'!$F$2:$F$114,'Raw Data'!$A$2:$A$114,$A61,'Raw Data'!$E$2:$E$114,"Salmon nigiri")</f>
        <v>0</v>
      </c>
      <c r="AA61" s="37" t="n">
        <f aca="false">SUMIFS('Raw Data'!$F$2:$F$114,'Raw Data'!$A$2:$A$114,$A61,'Raw Data'!$E$2:$E$114,"LEGO brick")</f>
        <v>0</v>
      </c>
      <c r="AB61" s="37" t="n">
        <f aca="false">SUMIFS('Raw Data'!$F$2:$F$114,'Raw Data'!$A$2:$A$114,$A61,'Raw Data'!$E$2:$E$114,"WD-40")</f>
        <v>0</v>
      </c>
      <c r="AC61" s="37" t="n">
        <f aca="false">SUMIFS('Raw Data'!$F$2:$F$114,'Raw Data'!$A$2:$A$114,$A61,'Raw Data'!$E$2:$E$114,"Creeper infinity cube")</f>
        <v>0</v>
      </c>
      <c r="AD61" s="37" t="n">
        <f aca="false">SUMIFS('Raw Data'!$F$2:$F$114,'Raw Data'!$A$2:$A$114,$A61,'Raw Data'!$E$2:$E$114,"Burger")</f>
        <v>0</v>
      </c>
      <c r="AE61" s="37" t="n">
        <f aca="false">SUMIFS('Raw Data'!$F$2:$F$114,'Raw Data'!$A$2:$A$114,$A61,'Raw Data'!$E$2:$E$114,"Full kit")</f>
        <v>0</v>
      </c>
      <c r="AF61" s="37" t="n">
        <f aca="false">SUMIFS('Raw Data'!$F$2:$F$114,'Raw Data'!$A$2:$A$114,$A61,'Raw Data'!$E$2:$E$114,"Kit w/ toroidal")</f>
        <v>0</v>
      </c>
    </row>
    <row r="62" customFormat="false" ht="15" hidden="false" customHeight="false" outlineLevel="0" collapsed="false">
      <c r="A62" s="17" t="s">
        <v>359</v>
      </c>
      <c r="B62" s="38" t="n">
        <v>46312.528275463</v>
      </c>
      <c r="C62" s="38" t="n">
        <v>46312.5283101852</v>
      </c>
      <c r="D62" s="16" t="n">
        <f aca="false">(C62-B62)*86400</f>
        <v>2.999998815</v>
      </c>
      <c r="E62" s="17" t="s">
        <v>251</v>
      </c>
      <c r="F62" s="17" t="s">
        <v>255</v>
      </c>
      <c r="G62" s="16" t="n">
        <f aca="false">SUMIFS('Raw Data'!$G$2:$G$114,'Raw Data'!$A$2:$A$114,A62)</f>
        <v>6</v>
      </c>
      <c r="H62" s="16" t="n">
        <f aca="false">SUMIFS('Raw Data'!$F$2:$F$114,'Raw Data'!$A$2:$A$114,A62)</f>
        <v>1</v>
      </c>
      <c r="I62" s="16" t="n">
        <f aca="false">SUMIFS('Raw Data'!$K$2:$K$114,'Raw Data'!$A$2:$A$114,A62)</f>
        <v>0</v>
      </c>
      <c r="J62" s="16" t="n">
        <f aca="false">COUNTIF(Q62:AF62,"&gt;0")</f>
        <v>1</v>
      </c>
      <c r="K62" s="16" t="n">
        <f aca="false">COUNTIF(L62:P62,"&gt;0")</f>
        <v>1</v>
      </c>
      <c r="L62" s="37" t="n">
        <f aca="false">SUMIFS('Raw Data'!$F$2:$F$114,'Raw Data'!$A$2:$A$114,$A62,'Raw Data'!$L$2:$L$114,"Asian food")</f>
        <v>0</v>
      </c>
      <c r="M62" s="37" t="n">
        <f aca="false">SUMIFS('Raw Data'!$F$2:$F$114,'Raw Data'!$A$2:$A$114,$A62,'Raw Data'!$L$2:$L$114,"Snacks &amp; treats")</f>
        <v>0</v>
      </c>
      <c r="N62" s="37" t="n">
        <f aca="false">SUMIFS('Raw Data'!$F$2:$F$114,'Raw Data'!$A$2:$A$114,$A62,'Raw Data'!$L$2:$L$114,"Minecraft")</f>
        <v>0</v>
      </c>
      <c r="O62" s="37" t="n">
        <f aca="false">SUMIFS('Raw Data'!$F$2:$F$114,'Raw Data'!$A$2:$A$114,$A62,'Raw Data'!$L$2:$L$114,"Workshop")</f>
        <v>0</v>
      </c>
      <c r="P62" s="37" t="n">
        <f aca="false">SUMIFS('Raw Data'!$F$2:$F$114,'Raw Data'!$A$2:$A$114,$A62,'Raw Data'!$L$2:$L$114,"Copters")</f>
        <v>1</v>
      </c>
      <c r="Q62" s="37" t="n">
        <f aca="false">SUMIFS('Raw Data'!$F$2:$F$114,'Raw Data'!$A$2:$A$114,$A62,'Raw Data'!$E$2:$E$114,"Egg tart")</f>
        <v>0</v>
      </c>
      <c r="R62" s="37" t="n">
        <f aca="false">SUMIFS('Raw Data'!$F$2:$F$114,'Raw Data'!$A$2:$A$114,$A62,'Raw Data'!$E$2:$E$114,"Hot dog bun")</f>
        <v>0</v>
      </c>
      <c r="S62" s="37" t="n">
        <f aca="false">SUMIFS('Raw Data'!$F$2:$F$114,'Raw Data'!$A$2:$A$114,$A62,'Raw Data'!$E$2:$E$114,"S'mores")</f>
        <v>0</v>
      </c>
      <c r="T62" s="37" t="n">
        <f aca="false">SUMIFS('Raw Data'!$F$2:$F$114,'Raw Data'!$A$2:$A$114,$A62,'Raw Data'!$E$2:$E$114,"Chocolate bar")</f>
        <v>0</v>
      </c>
      <c r="U62" s="37" t="n">
        <f aca="false">SUMIFS('Raw Data'!$F$2:$F$114,'Raw Data'!$A$2:$A$114,$A62,'Raw Data'!$E$2:$E$114,"Avocado")</f>
        <v>0</v>
      </c>
      <c r="V62" s="37" t="n">
        <f aca="false">SUMIFS('Raw Data'!$F$2:$F$114,'Raw Data'!$A$2:$A$114,$A62,'Raw Data'!$E$2:$E$114,"Dumpling")</f>
        <v>0</v>
      </c>
      <c r="W62" s="37" t="n">
        <f aca="false">SUMIFS('Raw Data'!$F$2:$F$114,'Raw Data'!$A$2:$A$114,$A62,'Raw Data'!$E$2:$E$114,"Creeper")</f>
        <v>0</v>
      </c>
      <c r="X62" s="37" t="n">
        <f aca="false">SUMIFS('Raw Data'!$F$2:$F$114,'Raw Data'!$A$2:$A$114,$A62,'Raw Data'!$E$2:$E$114,"Oreo")</f>
        <v>0</v>
      </c>
      <c r="Y62" s="37" t="n">
        <f aca="false">SUMIFS('Raw Data'!$F$2:$F$114,'Raw Data'!$A$2:$A$114,$A62,'Raw Data'!$E$2:$E$114,"Spam musubi")</f>
        <v>0</v>
      </c>
      <c r="Z62" s="37" t="n">
        <f aca="false">SUMIFS('Raw Data'!$F$2:$F$114,'Raw Data'!$A$2:$A$114,$A62,'Raw Data'!$E$2:$E$114,"Salmon nigiri")</f>
        <v>0</v>
      </c>
      <c r="AA62" s="37" t="n">
        <f aca="false">SUMIFS('Raw Data'!$F$2:$F$114,'Raw Data'!$A$2:$A$114,$A62,'Raw Data'!$E$2:$E$114,"LEGO brick")</f>
        <v>0</v>
      </c>
      <c r="AB62" s="37" t="n">
        <f aca="false">SUMIFS('Raw Data'!$F$2:$F$114,'Raw Data'!$A$2:$A$114,$A62,'Raw Data'!$E$2:$E$114,"WD-40")</f>
        <v>0</v>
      </c>
      <c r="AC62" s="37" t="n">
        <f aca="false">SUMIFS('Raw Data'!$F$2:$F$114,'Raw Data'!$A$2:$A$114,$A62,'Raw Data'!$E$2:$E$114,"Creeper infinity cube")</f>
        <v>0</v>
      </c>
      <c r="AD62" s="37" t="n">
        <f aca="false">SUMIFS('Raw Data'!$F$2:$F$114,'Raw Data'!$A$2:$A$114,$A62,'Raw Data'!$E$2:$E$114,"Burger")</f>
        <v>0</v>
      </c>
      <c r="AE62" s="37" t="n">
        <f aca="false">SUMIFS('Raw Data'!$F$2:$F$114,'Raw Data'!$A$2:$A$114,$A62,'Raw Data'!$E$2:$E$114,"Full kit")</f>
        <v>0</v>
      </c>
      <c r="AF62" s="37" t="n">
        <f aca="false">SUMIFS('Raw Data'!$F$2:$F$114,'Raw Data'!$A$2:$A$114,$A62,'Raw Data'!$E$2:$E$114,"Kit w/ toroidal")</f>
        <v>1</v>
      </c>
    </row>
    <row r="63" customFormat="false" ht="15" hidden="false" customHeight="false" outlineLevel="0" collapsed="false">
      <c r="A63" s="17" t="s">
        <v>360</v>
      </c>
      <c r="B63" s="38" t="n">
        <v>46312.5284259259</v>
      </c>
      <c r="C63" s="38" t="n">
        <v>46312.5286689815</v>
      </c>
      <c r="D63" s="16" t="n">
        <f aca="false">(C63-B63)*86400</f>
        <v>21</v>
      </c>
      <c r="E63" s="17" t="s">
        <v>253</v>
      </c>
      <c r="F63" s="17" t="s">
        <v>256</v>
      </c>
      <c r="G63" s="16" t="n">
        <f aca="false">SUMIFS('Raw Data'!$G$2:$G$114,'Raw Data'!$A$2:$A$114,A63)</f>
        <v>7</v>
      </c>
      <c r="H63" s="16" t="n">
        <f aca="false">SUMIFS('Raw Data'!$F$2:$F$114,'Raw Data'!$A$2:$A$114,A63)</f>
        <v>2</v>
      </c>
      <c r="I63" s="16" t="n">
        <f aca="false">SUMIFS('Raw Data'!$K$2:$K$114,'Raw Data'!$A$2:$A$114,A63)</f>
        <v>0</v>
      </c>
      <c r="J63" s="16" t="n">
        <f aca="false">COUNTIF(Q63:AF63,"&gt;0")</f>
        <v>2</v>
      </c>
      <c r="K63" s="16" t="n">
        <f aca="false">COUNTIF(L63:P63,"&gt;0")</f>
        <v>1</v>
      </c>
      <c r="L63" s="37" t="n">
        <f aca="false">SUMIFS('Raw Data'!$F$2:$F$114,'Raw Data'!$A$2:$A$114,$A63,'Raw Data'!$L$2:$L$114,"Asian food")</f>
        <v>2</v>
      </c>
      <c r="M63" s="37" t="n">
        <f aca="false">SUMIFS('Raw Data'!$F$2:$F$114,'Raw Data'!$A$2:$A$114,$A63,'Raw Data'!$L$2:$L$114,"Snacks &amp; treats")</f>
        <v>0</v>
      </c>
      <c r="N63" s="37" t="n">
        <f aca="false">SUMIFS('Raw Data'!$F$2:$F$114,'Raw Data'!$A$2:$A$114,$A63,'Raw Data'!$L$2:$L$114,"Minecraft")</f>
        <v>0</v>
      </c>
      <c r="O63" s="37" t="n">
        <f aca="false">SUMIFS('Raw Data'!$F$2:$F$114,'Raw Data'!$A$2:$A$114,$A63,'Raw Data'!$L$2:$L$114,"Workshop")</f>
        <v>0</v>
      </c>
      <c r="P63" s="37" t="n">
        <f aca="false">SUMIFS('Raw Data'!$F$2:$F$114,'Raw Data'!$A$2:$A$114,$A63,'Raw Data'!$L$2:$L$114,"Copters")</f>
        <v>0</v>
      </c>
      <c r="Q63" s="37" t="n">
        <f aca="false">SUMIFS('Raw Data'!$F$2:$F$114,'Raw Data'!$A$2:$A$114,$A63,'Raw Data'!$E$2:$E$114,"Egg tart")</f>
        <v>1</v>
      </c>
      <c r="R63" s="37" t="n">
        <f aca="false">SUMIFS('Raw Data'!$F$2:$F$114,'Raw Data'!$A$2:$A$114,$A63,'Raw Data'!$E$2:$E$114,"Hot dog bun")</f>
        <v>0</v>
      </c>
      <c r="S63" s="37" t="n">
        <f aca="false">SUMIFS('Raw Data'!$F$2:$F$114,'Raw Data'!$A$2:$A$114,$A63,'Raw Data'!$E$2:$E$114,"S'mores")</f>
        <v>0</v>
      </c>
      <c r="T63" s="37" t="n">
        <f aca="false">SUMIFS('Raw Data'!$F$2:$F$114,'Raw Data'!$A$2:$A$114,$A63,'Raw Data'!$E$2:$E$114,"Chocolate bar")</f>
        <v>0</v>
      </c>
      <c r="U63" s="37" t="n">
        <f aca="false">SUMIFS('Raw Data'!$F$2:$F$114,'Raw Data'!$A$2:$A$114,$A63,'Raw Data'!$E$2:$E$114,"Avocado")</f>
        <v>0</v>
      </c>
      <c r="V63" s="37" t="n">
        <f aca="false">SUMIFS('Raw Data'!$F$2:$F$114,'Raw Data'!$A$2:$A$114,$A63,'Raw Data'!$E$2:$E$114,"Dumpling")</f>
        <v>0</v>
      </c>
      <c r="W63" s="37" t="n">
        <f aca="false">SUMIFS('Raw Data'!$F$2:$F$114,'Raw Data'!$A$2:$A$114,$A63,'Raw Data'!$E$2:$E$114,"Creeper")</f>
        <v>0</v>
      </c>
      <c r="X63" s="37" t="n">
        <f aca="false">SUMIFS('Raw Data'!$F$2:$F$114,'Raw Data'!$A$2:$A$114,$A63,'Raw Data'!$E$2:$E$114,"Oreo")</f>
        <v>0</v>
      </c>
      <c r="Y63" s="37" t="n">
        <f aca="false">SUMIFS('Raw Data'!$F$2:$F$114,'Raw Data'!$A$2:$A$114,$A63,'Raw Data'!$E$2:$E$114,"Spam musubi")</f>
        <v>0</v>
      </c>
      <c r="Z63" s="37" t="n">
        <f aca="false">SUMIFS('Raw Data'!$F$2:$F$114,'Raw Data'!$A$2:$A$114,$A63,'Raw Data'!$E$2:$E$114,"Salmon nigiri")</f>
        <v>1</v>
      </c>
      <c r="AA63" s="37" t="n">
        <f aca="false">SUMIFS('Raw Data'!$F$2:$F$114,'Raw Data'!$A$2:$A$114,$A63,'Raw Data'!$E$2:$E$114,"LEGO brick")</f>
        <v>0</v>
      </c>
      <c r="AB63" s="37" t="n">
        <f aca="false">SUMIFS('Raw Data'!$F$2:$F$114,'Raw Data'!$A$2:$A$114,$A63,'Raw Data'!$E$2:$E$114,"WD-40")</f>
        <v>0</v>
      </c>
      <c r="AC63" s="37" t="n">
        <f aca="false">SUMIFS('Raw Data'!$F$2:$F$114,'Raw Data'!$A$2:$A$114,$A63,'Raw Data'!$E$2:$E$114,"Creeper infinity cube")</f>
        <v>0</v>
      </c>
      <c r="AD63" s="37" t="n">
        <f aca="false">SUMIFS('Raw Data'!$F$2:$F$114,'Raw Data'!$A$2:$A$114,$A63,'Raw Data'!$E$2:$E$114,"Burger")</f>
        <v>0</v>
      </c>
      <c r="AE63" s="37" t="n">
        <f aca="false">SUMIFS('Raw Data'!$F$2:$F$114,'Raw Data'!$A$2:$A$114,$A63,'Raw Data'!$E$2:$E$114,"Full kit")</f>
        <v>0</v>
      </c>
      <c r="AF63" s="37" t="n">
        <f aca="false">SUMIFS('Raw Data'!$F$2:$F$114,'Raw Data'!$A$2:$A$114,$A63,'Raw Data'!$E$2:$E$114,"Kit w/ toroidal")</f>
        <v>0</v>
      </c>
    </row>
    <row r="64" customFormat="false" ht="15" hidden="false" customHeight="false" outlineLevel="0" collapsed="false">
      <c r="A64" s="17" t="s">
        <v>361</v>
      </c>
      <c r="B64" s="38" t="n">
        <v>46312.5291666667</v>
      </c>
      <c r="C64" s="38" t="n">
        <v>46312.5293865741</v>
      </c>
      <c r="D64" s="16" t="n">
        <f aca="false">(C64-B64)*86400</f>
        <v>19</v>
      </c>
      <c r="E64" s="17"/>
      <c r="F64" s="17" t="s">
        <v>255</v>
      </c>
      <c r="G64" s="16" t="n">
        <f aca="false">SUMIFS('Raw Data'!$G$2:$G$114,'Raw Data'!$A$2:$A$114,A64)</f>
        <v>27</v>
      </c>
      <c r="H64" s="16" t="n">
        <f aca="false">SUMIFS('Raw Data'!$F$2:$F$114,'Raw Data'!$A$2:$A$114,A64)</f>
        <v>8</v>
      </c>
      <c r="I64" s="16" t="n">
        <f aca="false">SUMIFS('Raw Data'!$K$2:$K$114,'Raw Data'!$A$2:$A$114,A64)</f>
        <v>2</v>
      </c>
      <c r="J64" s="16" t="n">
        <f aca="false">COUNTIF(Q64:AF64,"&gt;0")</f>
        <v>1</v>
      </c>
      <c r="K64" s="16" t="n">
        <f aca="false">COUNTIF(L64:P64,"&gt;0")</f>
        <v>1</v>
      </c>
      <c r="L64" s="37" t="n">
        <f aca="false">SUMIFS('Raw Data'!$F$2:$F$114,'Raw Data'!$A$2:$A$114,$A64,'Raw Data'!$L$2:$L$114,"Asian food")</f>
        <v>8</v>
      </c>
      <c r="M64" s="37" t="n">
        <f aca="false">SUMIFS('Raw Data'!$F$2:$F$114,'Raw Data'!$A$2:$A$114,$A64,'Raw Data'!$L$2:$L$114,"Snacks &amp; treats")</f>
        <v>0</v>
      </c>
      <c r="N64" s="37" t="n">
        <f aca="false">SUMIFS('Raw Data'!$F$2:$F$114,'Raw Data'!$A$2:$A$114,$A64,'Raw Data'!$L$2:$L$114,"Minecraft")</f>
        <v>0</v>
      </c>
      <c r="O64" s="37" t="n">
        <f aca="false">SUMIFS('Raw Data'!$F$2:$F$114,'Raw Data'!$A$2:$A$114,$A64,'Raw Data'!$L$2:$L$114,"Workshop")</f>
        <v>0</v>
      </c>
      <c r="P64" s="37" t="n">
        <f aca="false">SUMIFS('Raw Data'!$F$2:$F$114,'Raw Data'!$A$2:$A$114,$A64,'Raw Data'!$L$2:$L$114,"Copters")</f>
        <v>0</v>
      </c>
      <c r="Q64" s="37" t="n">
        <f aca="false">SUMIFS('Raw Data'!$F$2:$F$114,'Raw Data'!$A$2:$A$114,$A64,'Raw Data'!$E$2:$E$114,"Egg tart")</f>
        <v>0</v>
      </c>
      <c r="R64" s="37" t="n">
        <f aca="false">SUMIFS('Raw Data'!$F$2:$F$114,'Raw Data'!$A$2:$A$114,$A64,'Raw Data'!$E$2:$E$114,"Hot dog bun")</f>
        <v>0</v>
      </c>
      <c r="S64" s="37" t="n">
        <f aca="false">SUMIFS('Raw Data'!$F$2:$F$114,'Raw Data'!$A$2:$A$114,$A64,'Raw Data'!$E$2:$E$114,"S'mores")</f>
        <v>0</v>
      </c>
      <c r="T64" s="37" t="n">
        <f aca="false">SUMIFS('Raw Data'!$F$2:$F$114,'Raw Data'!$A$2:$A$114,$A64,'Raw Data'!$E$2:$E$114,"Chocolate bar")</f>
        <v>0</v>
      </c>
      <c r="U64" s="37" t="n">
        <f aca="false">SUMIFS('Raw Data'!$F$2:$F$114,'Raw Data'!$A$2:$A$114,$A64,'Raw Data'!$E$2:$E$114,"Avocado")</f>
        <v>0</v>
      </c>
      <c r="V64" s="37" t="n">
        <f aca="false">SUMIFS('Raw Data'!$F$2:$F$114,'Raw Data'!$A$2:$A$114,$A64,'Raw Data'!$E$2:$E$114,"Dumpling")</f>
        <v>8</v>
      </c>
      <c r="W64" s="37" t="n">
        <f aca="false">SUMIFS('Raw Data'!$F$2:$F$114,'Raw Data'!$A$2:$A$114,$A64,'Raw Data'!$E$2:$E$114,"Creeper")</f>
        <v>0</v>
      </c>
      <c r="X64" s="37" t="n">
        <f aca="false">SUMIFS('Raw Data'!$F$2:$F$114,'Raw Data'!$A$2:$A$114,$A64,'Raw Data'!$E$2:$E$114,"Oreo")</f>
        <v>0</v>
      </c>
      <c r="Y64" s="37" t="n">
        <f aca="false">SUMIFS('Raw Data'!$F$2:$F$114,'Raw Data'!$A$2:$A$114,$A64,'Raw Data'!$E$2:$E$114,"Spam musubi")</f>
        <v>0</v>
      </c>
      <c r="Z64" s="37" t="n">
        <f aca="false">SUMIFS('Raw Data'!$F$2:$F$114,'Raw Data'!$A$2:$A$114,$A64,'Raw Data'!$E$2:$E$114,"Salmon nigiri")</f>
        <v>0</v>
      </c>
      <c r="AA64" s="37" t="n">
        <f aca="false">SUMIFS('Raw Data'!$F$2:$F$114,'Raw Data'!$A$2:$A$114,$A64,'Raw Data'!$E$2:$E$114,"LEGO brick")</f>
        <v>0</v>
      </c>
      <c r="AB64" s="37" t="n">
        <f aca="false">SUMIFS('Raw Data'!$F$2:$F$114,'Raw Data'!$A$2:$A$114,$A64,'Raw Data'!$E$2:$E$114,"WD-40")</f>
        <v>0</v>
      </c>
      <c r="AC64" s="37" t="n">
        <f aca="false">SUMIFS('Raw Data'!$F$2:$F$114,'Raw Data'!$A$2:$A$114,$A64,'Raw Data'!$E$2:$E$114,"Creeper infinity cube")</f>
        <v>0</v>
      </c>
      <c r="AD64" s="37" t="n">
        <f aca="false">SUMIFS('Raw Data'!$F$2:$F$114,'Raw Data'!$A$2:$A$114,$A64,'Raw Data'!$E$2:$E$114,"Burger")</f>
        <v>0</v>
      </c>
      <c r="AE64" s="37" t="n">
        <f aca="false">SUMIFS('Raw Data'!$F$2:$F$114,'Raw Data'!$A$2:$A$114,$A64,'Raw Data'!$E$2:$E$114,"Full kit")</f>
        <v>0</v>
      </c>
      <c r="AF64" s="37" t="n">
        <f aca="false">SUMIFS('Raw Data'!$F$2:$F$114,'Raw Data'!$A$2:$A$114,$A64,'Raw Data'!$E$2:$E$114,"Kit w/ toroidal")</f>
        <v>0</v>
      </c>
    </row>
    <row r="65" customFormat="false" ht="15" hidden="false" customHeight="false" outlineLevel="0" collapsed="false">
      <c r="A65" s="17" t="s">
        <v>362</v>
      </c>
      <c r="B65" s="38" t="n">
        <v>46312.530150463</v>
      </c>
      <c r="C65" s="38" t="n">
        <v>46312.5301851852</v>
      </c>
      <c r="D65" s="16" t="n">
        <f aca="false">(C65-B65)*86400</f>
        <v>3</v>
      </c>
      <c r="E65" s="17"/>
      <c r="F65" s="17"/>
      <c r="G65" s="16" t="n">
        <f aca="false">SUMIFS('Raw Data'!$G$2:$G$114,'Raw Data'!$A$2:$A$114,A65)</f>
        <v>10</v>
      </c>
      <c r="H65" s="16" t="n">
        <f aca="false">SUMIFS('Raw Data'!$F$2:$F$114,'Raw Data'!$A$2:$A$114,A65)</f>
        <v>3</v>
      </c>
      <c r="I65" s="16" t="n">
        <f aca="false">SUMIFS('Raw Data'!$K$2:$K$114,'Raw Data'!$A$2:$A$114,A65)</f>
        <v>1</v>
      </c>
      <c r="J65" s="16" t="n">
        <f aca="false">COUNTIF(Q65:AF65,"&gt;0")</f>
        <v>1</v>
      </c>
      <c r="K65" s="16" t="n">
        <f aca="false">COUNTIF(L65:P65,"&gt;0")</f>
        <v>1</v>
      </c>
      <c r="L65" s="37" t="n">
        <f aca="false">SUMIFS('Raw Data'!$F$2:$F$114,'Raw Data'!$A$2:$A$114,$A65,'Raw Data'!$L$2:$L$114,"Asian food")</f>
        <v>0</v>
      </c>
      <c r="M65" s="37" t="n">
        <f aca="false">SUMIFS('Raw Data'!$F$2:$F$114,'Raw Data'!$A$2:$A$114,$A65,'Raw Data'!$L$2:$L$114,"Snacks &amp; treats")</f>
        <v>0</v>
      </c>
      <c r="N65" s="37" t="n">
        <f aca="false">SUMIFS('Raw Data'!$F$2:$F$114,'Raw Data'!$A$2:$A$114,$A65,'Raw Data'!$L$2:$L$114,"Minecraft")</f>
        <v>3</v>
      </c>
      <c r="O65" s="37" t="n">
        <f aca="false">SUMIFS('Raw Data'!$F$2:$F$114,'Raw Data'!$A$2:$A$114,$A65,'Raw Data'!$L$2:$L$114,"Workshop")</f>
        <v>0</v>
      </c>
      <c r="P65" s="37" t="n">
        <f aca="false">SUMIFS('Raw Data'!$F$2:$F$114,'Raw Data'!$A$2:$A$114,$A65,'Raw Data'!$L$2:$L$114,"Copters")</f>
        <v>0</v>
      </c>
      <c r="Q65" s="37" t="n">
        <f aca="false">SUMIFS('Raw Data'!$F$2:$F$114,'Raw Data'!$A$2:$A$114,$A65,'Raw Data'!$E$2:$E$114,"Egg tart")</f>
        <v>0</v>
      </c>
      <c r="R65" s="37" t="n">
        <f aca="false">SUMIFS('Raw Data'!$F$2:$F$114,'Raw Data'!$A$2:$A$114,$A65,'Raw Data'!$E$2:$E$114,"Hot dog bun")</f>
        <v>0</v>
      </c>
      <c r="S65" s="37" t="n">
        <f aca="false">SUMIFS('Raw Data'!$F$2:$F$114,'Raw Data'!$A$2:$A$114,$A65,'Raw Data'!$E$2:$E$114,"S'mores")</f>
        <v>0</v>
      </c>
      <c r="T65" s="37" t="n">
        <f aca="false">SUMIFS('Raw Data'!$F$2:$F$114,'Raw Data'!$A$2:$A$114,$A65,'Raw Data'!$E$2:$E$114,"Chocolate bar")</f>
        <v>0</v>
      </c>
      <c r="U65" s="37" t="n">
        <f aca="false">SUMIFS('Raw Data'!$F$2:$F$114,'Raw Data'!$A$2:$A$114,$A65,'Raw Data'!$E$2:$E$114,"Avocado")</f>
        <v>0</v>
      </c>
      <c r="V65" s="37" t="n">
        <f aca="false">SUMIFS('Raw Data'!$F$2:$F$114,'Raw Data'!$A$2:$A$114,$A65,'Raw Data'!$E$2:$E$114,"Dumpling")</f>
        <v>0</v>
      </c>
      <c r="W65" s="37" t="n">
        <f aca="false">SUMIFS('Raw Data'!$F$2:$F$114,'Raw Data'!$A$2:$A$114,$A65,'Raw Data'!$E$2:$E$114,"Creeper")</f>
        <v>0</v>
      </c>
      <c r="X65" s="37" t="n">
        <f aca="false">SUMIFS('Raw Data'!$F$2:$F$114,'Raw Data'!$A$2:$A$114,$A65,'Raw Data'!$E$2:$E$114,"Oreo")</f>
        <v>0</v>
      </c>
      <c r="Y65" s="37" t="n">
        <f aca="false">SUMIFS('Raw Data'!$F$2:$F$114,'Raw Data'!$A$2:$A$114,$A65,'Raw Data'!$E$2:$E$114,"Spam musubi")</f>
        <v>0</v>
      </c>
      <c r="Z65" s="37" t="n">
        <f aca="false">SUMIFS('Raw Data'!$F$2:$F$114,'Raw Data'!$A$2:$A$114,$A65,'Raw Data'!$E$2:$E$114,"Salmon nigiri")</f>
        <v>0</v>
      </c>
      <c r="AA65" s="37" t="n">
        <f aca="false">SUMIFS('Raw Data'!$F$2:$F$114,'Raw Data'!$A$2:$A$114,$A65,'Raw Data'!$E$2:$E$114,"LEGO brick")</f>
        <v>0</v>
      </c>
      <c r="AB65" s="37" t="n">
        <f aca="false">SUMIFS('Raw Data'!$F$2:$F$114,'Raw Data'!$A$2:$A$114,$A65,'Raw Data'!$E$2:$E$114,"WD-40")</f>
        <v>0</v>
      </c>
      <c r="AC65" s="37" t="n">
        <f aca="false">SUMIFS('Raw Data'!$F$2:$F$114,'Raw Data'!$A$2:$A$114,$A65,'Raw Data'!$E$2:$E$114,"Creeper infinity cube")</f>
        <v>3</v>
      </c>
      <c r="AD65" s="37" t="n">
        <f aca="false">SUMIFS('Raw Data'!$F$2:$F$114,'Raw Data'!$A$2:$A$114,$A65,'Raw Data'!$E$2:$E$114,"Burger")</f>
        <v>0</v>
      </c>
      <c r="AE65" s="37" t="n">
        <f aca="false">SUMIFS('Raw Data'!$F$2:$F$114,'Raw Data'!$A$2:$A$114,$A65,'Raw Data'!$E$2:$E$114,"Full kit")</f>
        <v>0</v>
      </c>
      <c r="AF65" s="37" t="n">
        <f aca="false">SUMIFS('Raw Data'!$F$2:$F$114,'Raw Data'!$A$2:$A$114,$A65,'Raw Data'!$E$2:$E$114,"Kit w/ toroidal")</f>
        <v>0</v>
      </c>
    </row>
    <row r="66" customFormat="false" ht="15" hidden="false" customHeight="false" outlineLevel="0" collapsed="false">
      <c r="A66" s="17" t="s">
        <v>363</v>
      </c>
      <c r="B66" s="38" t="n">
        <v>46312.5302893519</v>
      </c>
      <c r="C66" s="38" t="n">
        <v>46312.5303472222</v>
      </c>
      <c r="D66" s="16" t="n">
        <f aca="false">(C66-B66)*86400</f>
        <v>5</v>
      </c>
      <c r="E66" s="17"/>
      <c r="F66" s="17" t="s">
        <v>255</v>
      </c>
      <c r="G66" s="16" t="n">
        <f aca="false">SUMIFS('Raw Data'!$G$2:$G$114,'Raw Data'!$A$2:$A$114,A66)</f>
        <v>10</v>
      </c>
      <c r="H66" s="16" t="n">
        <f aca="false">SUMIFS('Raw Data'!$F$2:$F$114,'Raw Data'!$A$2:$A$114,A66)</f>
        <v>3</v>
      </c>
      <c r="I66" s="16" t="n">
        <f aca="false">SUMIFS('Raw Data'!$K$2:$K$114,'Raw Data'!$A$2:$A$114,A66)</f>
        <v>1</v>
      </c>
      <c r="J66" s="16" t="n">
        <f aca="false">COUNTIF(Q66:AF66,"&gt;0")</f>
        <v>1</v>
      </c>
      <c r="K66" s="16" t="n">
        <f aca="false">COUNTIF(L66:P66,"&gt;0")</f>
        <v>1</v>
      </c>
      <c r="L66" s="37" t="n">
        <f aca="false">SUMIFS('Raw Data'!$F$2:$F$114,'Raw Data'!$A$2:$A$114,$A66,'Raw Data'!$L$2:$L$114,"Asian food")</f>
        <v>0</v>
      </c>
      <c r="M66" s="37" t="n">
        <f aca="false">SUMIFS('Raw Data'!$F$2:$F$114,'Raw Data'!$A$2:$A$114,$A66,'Raw Data'!$L$2:$L$114,"Snacks &amp; treats")</f>
        <v>3</v>
      </c>
      <c r="N66" s="37" t="n">
        <f aca="false">SUMIFS('Raw Data'!$F$2:$F$114,'Raw Data'!$A$2:$A$114,$A66,'Raw Data'!$L$2:$L$114,"Minecraft")</f>
        <v>0</v>
      </c>
      <c r="O66" s="37" t="n">
        <f aca="false">SUMIFS('Raw Data'!$F$2:$F$114,'Raw Data'!$A$2:$A$114,$A66,'Raw Data'!$L$2:$L$114,"Workshop")</f>
        <v>0</v>
      </c>
      <c r="P66" s="37" t="n">
        <f aca="false">SUMIFS('Raw Data'!$F$2:$F$114,'Raw Data'!$A$2:$A$114,$A66,'Raw Data'!$L$2:$L$114,"Copters")</f>
        <v>0</v>
      </c>
      <c r="Q66" s="37" t="n">
        <f aca="false">SUMIFS('Raw Data'!$F$2:$F$114,'Raw Data'!$A$2:$A$114,$A66,'Raw Data'!$E$2:$E$114,"Egg tart")</f>
        <v>0</v>
      </c>
      <c r="R66" s="37" t="n">
        <f aca="false">SUMIFS('Raw Data'!$F$2:$F$114,'Raw Data'!$A$2:$A$114,$A66,'Raw Data'!$E$2:$E$114,"Hot dog bun")</f>
        <v>0</v>
      </c>
      <c r="S66" s="37" t="n">
        <f aca="false">SUMIFS('Raw Data'!$F$2:$F$114,'Raw Data'!$A$2:$A$114,$A66,'Raw Data'!$E$2:$E$114,"S'mores")</f>
        <v>0</v>
      </c>
      <c r="T66" s="37" t="n">
        <f aca="false">SUMIFS('Raw Data'!$F$2:$F$114,'Raw Data'!$A$2:$A$114,$A66,'Raw Data'!$E$2:$E$114,"Chocolate bar")</f>
        <v>0</v>
      </c>
      <c r="U66" s="37" t="n">
        <f aca="false">SUMIFS('Raw Data'!$F$2:$F$114,'Raw Data'!$A$2:$A$114,$A66,'Raw Data'!$E$2:$E$114,"Avocado")</f>
        <v>3</v>
      </c>
      <c r="V66" s="37" t="n">
        <f aca="false">SUMIFS('Raw Data'!$F$2:$F$114,'Raw Data'!$A$2:$A$114,$A66,'Raw Data'!$E$2:$E$114,"Dumpling")</f>
        <v>0</v>
      </c>
      <c r="W66" s="37" t="n">
        <f aca="false">SUMIFS('Raw Data'!$F$2:$F$114,'Raw Data'!$A$2:$A$114,$A66,'Raw Data'!$E$2:$E$114,"Creeper")</f>
        <v>0</v>
      </c>
      <c r="X66" s="37" t="n">
        <f aca="false">SUMIFS('Raw Data'!$F$2:$F$114,'Raw Data'!$A$2:$A$114,$A66,'Raw Data'!$E$2:$E$114,"Oreo")</f>
        <v>0</v>
      </c>
      <c r="Y66" s="37" t="n">
        <f aca="false">SUMIFS('Raw Data'!$F$2:$F$114,'Raw Data'!$A$2:$A$114,$A66,'Raw Data'!$E$2:$E$114,"Spam musubi")</f>
        <v>0</v>
      </c>
      <c r="Z66" s="37" t="n">
        <f aca="false">SUMIFS('Raw Data'!$F$2:$F$114,'Raw Data'!$A$2:$A$114,$A66,'Raw Data'!$E$2:$E$114,"Salmon nigiri")</f>
        <v>0</v>
      </c>
      <c r="AA66" s="37" t="n">
        <f aca="false">SUMIFS('Raw Data'!$F$2:$F$114,'Raw Data'!$A$2:$A$114,$A66,'Raw Data'!$E$2:$E$114,"LEGO brick")</f>
        <v>0</v>
      </c>
      <c r="AB66" s="37" t="n">
        <f aca="false">SUMIFS('Raw Data'!$F$2:$F$114,'Raw Data'!$A$2:$A$114,$A66,'Raw Data'!$E$2:$E$114,"WD-40")</f>
        <v>0</v>
      </c>
      <c r="AC66" s="37" t="n">
        <f aca="false">SUMIFS('Raw Data'!$F$2:$F$114,'Raw Data'!$A$2:$A$114,$A66,'Raw Data'!$E$2:$E$114,"Creeper infinity cube")</f>
        <v>0</v>
      </c>
      <c r="AD66" s="37" t="n">
        <f aca="false">SUMIFS('Raw Data'!$F$2:$F$114,'Raw Data'!$A$2:$A$114,$A66,'Raw Data'!$E$2:$E$114,"Burger")</f>
        <v>0</v>
      </c>
      <c r="AE66" s="37" t="n">
        <f aca="false">SUMIFS('Raw Data'!$F$2:$F$114,'Raw Data'!$A$2:$A$114,$A66,'Raw Data'!$E$2:$E$114,"Full kit")</f>
        <v>0</v>
      </c>
      <c r="AF66" s="37" t="n">
        <f aca="false">SUMIFS('Raw Data'!$F$2:$F$114,'Raw Data'!$A$2:$A$114,$A66,'Raw Data'!$E$2:$E$114,"Kit w/ toroidal")</f>
        <v>0</v>
      </c>
    </row>
    <row r="67" customFormat="false" ht="15" hidden="false" customHeight="false" outlineLevel="0" collapsed="false">
      <c r="A67" s="17" t="s">
        <v>364</v>
      </c>
      <c r="B67" s="38" t="n">
        <v>46312.5304861111</v>
      </c>
      <c r="C67" s="38" t="n">
        <v>46312.5358101852</v>
      </c>
      <c r="D67" s="16" t="n">
        <f aca="false">(C67-B67)*86400</f>
        <v>460</v>
      </c>
      <c r="E67" s="17" t="s">
        <v>251</v>
      </c>
      <c r="F67" s="17"/>
      <c r="G67" s="16" t="n">
        <f aca="false">SUMIFS('Raw Data'!$G$2:$G$114,'Raw Data'!$A$2:$A$114,A67)</f>
        <v>14</v>
      </c>
      <c r="H67" s="16" t="n">
        <f aca="false">SUMIFS('Raw Data'!$F$2:$F$114,'Raw Data'!$A$2:$A$114,A67)</f>
        <v>4</v>
      </c>
      <c r="I67" s="16" t="n">
        <f aca="false">SUMIFS('Raw Data'!$K$2:$K$114,'Raw Data'!$A$2:$A$114,A67)</f>
        <v>1</v>
      </c>
      <c r="J67" s="16" t="n">
        <f aca="false">COUNTIF(Q67:AF67,"&gt;0")</f>
        <v>2</v>
      </c>
      <c r="K67" s="16" t="n">
        <f aca="false">COUNTIF(L67:P67,"&gt;0")</f>
        <v>2</v>
      </c>
      <c r="L67" s="37" t="n">
        <f aca="false">SUMIFS('Raw Data'!$F$2:$F$114,'Raw Data'!$A$2:$A$114,$A67,'Raw Data'!$L$2:$L$114,"Asian food")</f>
        <v>3</v>
      </c>
      <c r="M67" s="37" t="n">
        <f aca="false">SUMIFS('Raw Data'!$F$2:$F$114,'Raw Data'!$A$2:$A$114,$A67,'Raw Data'!$L$2:$L$114,"Snacks &amp; treats")</f>
        <v>1</v>
      </c>
      <c r="N67" s="37" t="n">
        <f aca="false">SUMIFS('Raw Data'!$F$2:$F$114,'Raw Data'!$A$2:$A$114,$A67,'Raw Data'!$L$2:$L$114,"Minecraft")</f>
        <v>0</v>
      </c>
      <c r="O67" s="37" t="n">
        <f aca="false">SUMIFS('Raw Data'!$F$2:$F$114,'Raw Data'!$A$2:$A$114,$A67,'Raw Data'!$L$2:$L$114,"Workshop")</f>
        <v>0</v>
      </c>
      <c r="P67" s="37" t="n">
        <f aca="false">SUMIFS('Raw Data'!$F$2:$F$114,'Raw Data'!$A$2:$A$114,$A67,'Raw Data'!$L$2:$L$114,"Copters")</f>
        <v>0</v>
      </c>
      <c r="Q67" s="37" t="n">
        <f aca="false">SUMIFS('Raw Data'!$F$2:$F$114,'Raw Data'!$A$2:$A$114,$A67,'Raw Data'!$E$2:$E$114,"Egg tart")</f>
        <v>0</v>
      </c>
      <c r="R67" s="37" t="n">
        <f aca="false">SUMIFS('Raw Data'!$F$2:$F$114,'Raw Data'!$A$2:$A$114,$A67,'Raw Data'!$E$2:$E$114,"Hot dog bun")</f>
        <v>0</v>
      </c>
      <c r="S67" s="37" t="n">
        <f aca="false">SUMIFS('Raw Data'!$F$2:$F$114,'Raw Data'!$A$2:$A$114,$A67,'Raw Data'!$E$2:$E$114,"S'mores")</f>
        <v>0</v>
      </c>
      <c r="T67" s="37" t="n">
        <f aca="false">SUMIFS('Raw Data'!$F$2:$F$114,'Raw Data'!$A$2:$A$114,$A67,'Raw Data'!$E$2:$E$114,"Chocolate bar")</f>
        <v>0</v>
      </c>
      <c r="U67" s="37" t="n">
        <f aca="false">SUMIFS('Raw Data'!$F$2:$F$114,'Raw Data'!$A$2:$A$114,$A67,'Raw Data'!$E$2:$E$114,"Avocado")</f>
        <v>0</v>
      </c>
      <c r="V67" s="37" t="n">
        <f aca="false">SUMIFS('Raw Data'!$F$2:$F$114,'Raw Data'!$A$2:$A$114,$A67,'Raw Data'!$E$2:$E$114,"Dumpling")</f>
        <v>0</v>
      </c>
      <c r="W67" s="37" t="n">
        <f aca="false">SUMIFS('Raw Data'!$F$2:$F$114,'Raw Data'!$A$2:$A$114,$A67,'Raw Data'!$E$2:$E$114,"Creeper")</f>
        <v>0</v>
      </c>
      <c r="X67" s="37" t="n">
        <f aca="false">SUMIFS('Raw Data'!$F$2:$F$114,'Raw Data'!$A$2:$A$114,$A67,'Raw Data'!$E$2:$E$114,"Oreo")</f>
        <v>0</v>
      </c>
      <c r="Y67" s="37" t="n">
        <f aca="false">SUMIFS('Raw Data'!$F$2:$F$114,'Raw Data'!$A$2:$A$114,$A67,'Raw Data'!$E$2:$E$114,"Spam musubi")</f>
        <v>0</v>
      </c>
      <c r="Z67" s="37" t="n">
        <f aca="false">SUMIFS('Raw Data'!$F$2:$F$114,'Raw Data'!$A$2:$A$114,$A67,'Raw Data'!$E$2:$E$114,"Salmon nigiri")</f>
        <v>3</v>
      </c>
      <c r="AA67" s="37" t="n">
        <f aca="false">SUMIFS('Raw Data'!$F$2:$F$114,'Raw Data'!$A$2:$A$114,$A67,'Raw Data'!$E$2:$E$114,"LEGO brick")</f>
        <v>0</v>
      </c>
      <c r="AB67" s="37" t="n">
        <f aca="false">SUMIFS('Raw Data'!$F$2:$F$114,'Raw Data'!$A$2:$A$114,$A67,'Raw Data'!$E$2:$E$114,"WD-40")</f>
        <v>0</v>
      </c>
      <c r="AC67" s="37" t="n">
        <f aca="false">SUMIFS('Raw Data'!$F$2:$F$114,'Raw Data'!$A$2:$A$114,$A67,'Raw Data'!$E$2:$E$114,"Creeper infinity cube")</f>
        <v>0</v>
      </c>
      <c r="AD67" s="37" t="n">
        <f aca="false">SUMIFS('Raw Data'!$F$2:$F$114,'Raw Data'!$A$2:$A$114,$A67,'Raw Data'!$E$2:$E$114,"Burger")</f>
        <v>1</v>
      </c>
      <c r="AE67" s="37" t="n">
        <f aca="false">SUMIFS('Raw Data'!$F$2:$F$114,'Raw Data'!$A$2:$A$114,$A67,'Raw Data'!$E$2:$E$114,"Full kit")</f>
        <v>0</v>
      </c>
      <c r="AF67" s="37" t="n">
        <f aca="false">SUMIFS('Raw Data'!$F$2:$F$114,'Raw Data'!$A$2:$A$114,$A67,'Raw Data'!$E$2:$E$114,"Kit w/ toroidal")</f>
        <v>0</v>
      </c>
    </row>
    <row r="68" customFormat="false" ht="15" hidden="false" customHeight="false" outlineLevel="0" collapsed="false">
      <c r="A68" s="17" t="s">
        <v>365</v>
      </c>
      <c r="B68" s="38" t="n">
        <v>46312.5458564815</v>
      </c>
      <c r="C68" s="38" t="n">
        <v>46312.5459027778</v>
      </c>
      <c r="D68" s="16" t="n">
        <f aca="false">(C68-B68)*86400</f>
        <v>4</v>
      </c>
      <c r="E68" s="17" t="s">
        <v>251</v>
      </c>
      <c r="F68" s="17" t="s">
        <v>256</v>
      </c>
      <c r="G68" s="16" t="n">
        <f aca="false">SUMIFS('Raw Data'!$G$2:$G$114,'Raw Data'!$A$2:$A$114,A68)</f>
        <v>7</v>
      </c>
      <c r="H68" s="16" t="n">
        <f aca="false">SUMIFS('Raw Data'!$F$2:$F$114,'Raw Data'!$A$2:$A$114,A68)</f>
        <v>2</v>
      </c>
      <c r="I68" s="16" t="n">
        <f aca="false">SUMIFS('Raw Data'!$K$2:$K$114,'Raw Data'!$A$2:$A$114,A68)</f>
        <v>0</v>
      </c>
      <c r="J68" s="16" t="n">
        <f aca="false">COUNTIF(Q68:AF68,"&gt;0")</f>
        <v>2</v>
      </c>
      <c r="K68" s="16" t="n">
        <f aca="false">COUNTIF(L68:P68,"&gt;0")</f>
        <v>1</v>
      </c>
      <c r="L68" s="37" t="n">
        <f aca="false">SUMIFS('Raw Data'!$F$2:$F$114,'Raw Data'!$A$2:$A$114,$A68,'Raw Data'!$L$2:$L$114,"Asian food")</f>
        <v>2</v>
      </c>
      <c r="M68" s="37" t="n">
        <f aca="false">SUMIFS('Raw Data'!$F$2:$F$114,'Raw Data'!$A$2:$A$114,$A68,'Raw Data'!$L$2:$L$114,"Snacks &amp; treats")</f>
        <v>0</v>
      </c>
      <c r="N68" s="37" t="n">
        <f aca="false">SUMIFS('Raw Data'!$F$2:$F$114,'Raw Data'!$A$2:$A$114,$A68,'Raw Data'!$L$2:$L$114,"Minecraft")</f>
        <v>0</v>
      </c>
      <c r="O68" s="37" t="n">
        <f aca="false">SUMIFS('Raw Data'!$F$2:$F$114,'Raw Data'!$A$2:$A$114,$A68,'Raw Data'!$L$2:$L$114,"Workshop")</f>
        <v>0</v>
      </c>
      <c r="P68" s="37" t="n">
        <f aca="false">SUMIFS('Raw Data'!$F$2:$F$114,'Raw Data'!$A$2:$A$114,$A68,'Raw Data'!$L$2:$L$114,"Copters")</f>
        <v>0</v>
      </c>
      <c r="Q68" s="37" t="n">
        <f aca="false">SUMIFS('Raw Data'!$F$2:$F$114,'Raw Data'!$A$2:$A$114,$A68,'Raw Data'!$E$2:$E$114,"Egg tart")</f>
        <v>1</v>
      </c>
      <c r="R68" s="37" t="n">
        <f aca="false">SUMIFS('Raw Data'!$F$2:$F$114,'Raw Data'!$A$2:$A$114,$A68,'Raw Data'!$E$2:$E$114,"Hot dog bun")</f>
        <v>0</v>
      </c>
      <c r="S68" s="37" t="n">
        <f aca="false">SUMIFS('Raw Data'!$F$2:$F$114,'Raw Data'!$A$2:$A$114,$A68,'Raw Data'!$E$2:$E$114,"S'mores")</f>
        <v>0</v>
      </c>
      <c r="T68" s="37" t="n">
        <f aca="false">SUMIFS('Raw Data'!$F$2:$F$114,'Raw Data'!$A$2:$A$114,$A68,'Raw Data'!$E$2:$E$114,"Chocolate bar")</f>
        <v>0</v>
      </c>
      <c r="U68" s="37" t="n">
        <f aca="false">SUMIFS('Raw Data'!$F$2:$F$114,'Raw Data'!$A$2:$A$114,$A68,'Raw Data'!$E$2:$E$114,"Avocado")</f>
        <v>0</v>
      </c>
      <c r="V68" s="37" t="n">
        <f aca="false">SUMIFS('Raw Data'!$F$2:$F$114,'Raw Data'!$A$2:$A$114,$A68,'Raw Data'!$E$2:$E$114,"Dumpling")</f>
        <v>0</v>
      </c>
      <c r="W68" s="37" t="n">
        <f aca="false">SUMIFS('Raw Data'!$F$2:$F$114,'Raw Data'!$A$2:$A$114,$A68,'Raw Data'!$E$2:$E$114,"Creeper")</f>
        <v>0</v>
      </c>
      <c r="X68" s="37" t="n">
        <f aca="false">SUMIFS('Raw Data'!$F$2:$F$114,'Raw Data'!$A$2:$A$114,$A68,'Raw Data'!$E$2:$E$114,"Oreo")</f>
        <v>0</v>
      </c>
      <c r="Y68" s="37" t="n">
        <f aca="false">SUMIFS('Raw Data'!$F$2:$F$114,'Raw Data'!$A$2:$A$114,$A68,'Raw Data'!$E$2:$E$114,"Spam musubi")</f>
        <v>0</v>
      </c>
      <c r="Z68" s="37" t="n">
        <f aca="false">SUMIFS('Raw Data'!$F$2:$F$114,'Raw Data'!$A$2:$A$114,$A68,'Raw Data'!$E$2:$E$114,"Salmon nigiri")</f>
        <v>1</v>
      </c>
      <c r="AA68" s="37" t="n">
        <f aca="false">SUMIFS('Raw Data'!$F$2:$F$114,'Raw Data'!$A$2:$A$114,$A68,'Raw Data'!$E$2:$E$114,"LEGO brick")</f>
        <v>0</v>
      </c>
      <c r="AB68" s="37" t="n">
        <f aca="false">SUMIFS('Raw Data'!$F$2:$F$114,'Raw Data'!$A$2:$A$114,$A68,'Raw Data'!$E$2:$E$114,"WD-40")</f>
        <v>0</v>
      </c>
      <c r="AC68" s="37" t="n">
        <f aca="false">SUMIFS('Raw Data'!$F$2:$F$114,'Raw Data'!$A$2:$A$114,$A68,'Raw Data'!$E$2:$E$114,"Creeper infinity cube")</f>
        <v>0</v>
      </c>
      <c r="AD68" s="37" t="n">
        <f aca="false">SUMIFS('Raw Data'!$F$2:$F$114,'Raw Data'!$A$2:$A$114,$A68,'Raw Data'!$E$2:$E$114,"Burger")</f>
        <v>0</v>
      </c>
      <c r="AE68" s="37" t="n">
        <f aca="false">SUMIFS('Raw Data'!$F$2:$F$114,'Raw Data'!$A$2:$A$114,$A68,'Raw Data'!$E$2:$E$114,"Full kit")</f>
        <v>0</v>
      </c>
      <c r="AF68" s="37" t="n">
        <f aca="false">SUMIFS('Raw Data'!$F$2:$F$114,'Raw Data'!$A$2:$A$114,$A68,'Raw Data'!$E$2:$E$114,"Kit w/ toroidal")</f>
        <v>0</v>
      </c>
    </row>
    <row r="69" customFormat="false" ht="15" hidden="false" customHeight="false" outlineLevel="0" collapsed="false">
      <c r="A69" s="17" t="s">
        <v>366</v>
      </c>
      <c r="B69" s="38" t="n">
        <v>46312.5557986111</v>
      </c>
      <c r="C69" s="38" t="n">
        <v>46312.5558680556</v>
      </c>
      <c r="D69" s="16" t="n">
        <f aca="false">(C69-B69)*86400</f>
        <v>6</v>
      </c>
      <c r="E69" s="17" t="s">
        <v>252</v>
      </c>
      <c r="F69" s="17"/>
      <c r="G69" s="16" t="n">
        <f aca="false">SUMIFS('Raw Data'!$G$2:$G$114,'Raw Data'!$A$2:$A$114,A69)</f>
        <v>10</v>
      </c>
      <c r="H69" s="16" t="n">
        <f aca="false">SUMIFS('Raw Data'!$F$2:$F$114,'Raw Data'!$A$2:$A$114,A69)</f>
        <v>3</v>
      </c>
      <c r="I69" s="16" t="n">
        <f aca="false">SUMIFS('Raw Data'!$K$2:$K$114,'Raw Data'!$A$2:$A$114,A69)</f>
        <v>1</v>
      </c>
      <c r="J69" s="16" t="n">
        <f aca="false">COUNTIF(Q69:AF69,"&gt;0")</f>
        <v>1</v>
      </c>
      <c r="K69" s="16" t="n">
        <f aca="false">COUNTIF(L69:P69,"&gt;0")</f>
        <v>1</v>
      </c>
      <c r="L69" s="37" t="n">
        <f aca="false">SUMIFS('Raw Data'!$F$2:$F$114,'Raw Data'!$A$2:$A$114,$A69,'Raw Data'!$L$2:$L$114,"Asian food")</f>
        <v>3</v>
      </c>
      <c r="M69" s="37" t="n">
        <f aca="false">SUMIFS('Raw Data'!$F$2:$F$114,'Raw Data'!$A$2:$A$114,$A69,'Raw Data'!$L$2:$L$114,"Snacks &amp; treats")</f>
        <v>0</v>
      </c>
      <c r="N69" s="37" t="n">
        <f aca="false">SUMIFS('Raw Data'!$F$2:$F$114,'Raw Data'!$A$2:$A$114,$A69,'Raw Data'!$L$2:$L$114,"Minecraft")</f>
        <v>0</v>
      </c>
      <c r="O69" s="37" t="n">
        <f aca="false">SUMIFS('Raw Data'!$F$2:$F$114,'Raw Data'!$A$2:$A$114,$A69,'Raw Data'!$L$2:$L$114,"Workshop")</f>
        <v>0</v>
      </c>
      <c r="P69" s="37" t="n">
        <f aca="false">SUMIFS('Raw Data'!$F$2:$F$114,'Raw Data'!$A$2:$A$114,$A69,'Raw Data'!$L$2:$L$114,"Copters")</f>
        <v>0</v>
      </c>
      <c r="Q69" s="37" t="n">
        <f aca="false">SUMIFS('Raw Data'!$F$2:$F$114,'Raw Data'!$A$2:$A$114,$A69,'Raw Data'!$E$2:$E$114,"Egg tart")</f>
        <v>0</v>
      </c>
      <c r="R69" s="37" t="n">
        <f aca="false">SUMIFS('Raw Data'!$F$2:$F$114,'Raw Data'!$A$2:$A$114,$A69,'Raw Data'!$E$2:$E$114,"Hot dog bun")</f>
        <v>0</v>
      </c>
      <c r="S69" s="37" t="n">
        <f aca="false">SUMIFS('Raw Data'!$F$2:$F$114,'Raw Data'!$A$2:$A$114,$A69,'Raw Data'!$E$2:$E$114,"S'mores")</f>
        <v>0</v>
      </c>
      <c r="T69" s="37" t="n">
        <f aca="false">SUMIFS('Raw Data'!$F$2:$F$114,'Raw Data'!$A$2:$A$114,$A69,'Raw Data'!$E$2:$E$114,"Chocolate bar")</f>
        <v>0</v>
      </c>
      <c r="U69" s="37" t="n">
        <f aca="false">SUMIFS('Raw Data'!$F$2:$F$114,'Raw Data'!$A$2:$A$114,$A69,'Raw Data'!$E$2:$E$114,"Avocado")</f>
        <v>0</v>
      </c>
      <c r="V69" s="37" t="n">
        <f aca="false">SUMIFS('Raw Data'!$F$2:$F$114,'Raw Data'!$A$2:$A$114,$A69,'Raw Data'!$E$2:$E$114,"Dumpling")</f>
        <v>0</v>
      </c>
      <c r="W69" s="37" t="n">
        <f aca="false">SUMIFS('Raw Data'!$F$2:$F$114,'Raw Data'!$A$2:$A$114,$A69,'Raw Data'!$E$2:$E$114,"Creeper")</f>
        <v>0</v>
      </c>
      <c r="X69" s="37" t="n">
        <f aca="false">SUMIFS('Raw Data'!$F$2:$F$114,'Raw Data'!$A$2:$A$114,$A69,'Raw Data'!$E$2:$E$114,"Oreo")</f>
        <v>0</v>
      </c>
      <c r="Y69" s="37" t="n">
        <f aca="false">SUMIFS('Raw Data'!$F$2:$F$114,'Raw Data'!$A$2:$A$114,$A69,'Raw Data'!$E$2:$E$114,"Spam musubi")</f>
        <v>0</v>
      </c>
      <c r="Z69" s="37" t="n">
        <f aca="false">SUMIFS('Raw Data'!$F$2:$F$114,'Raw Data'!$A$2:$A$114,$A69,'Raw Data'!$E$2:$E$114,"Salmon nigiri")</f>
        <v>3</v>
      </c>
      <c r="AA69" s="37" t="n">
        <f aca="false">SUMIFS('Raw Data'!$F$2:$F$114,'Raw Data'!$A$2:$A$114,$A69,'Raw Data'!$E$2:$E$114,"LEGO brick")</f>
        <v>0</v>
      </c>
      <c r="AB69" s="37" t="n">
        <f aca="false">SUMIFS('Raw Data'!$F$2:$F$114,'Raw Data'!$A$2:$A$114,$A69,'Raw Data'!$E$2:$E$114,"WD-40")</f>
        <v>0</v>
      </c>
      <c r="AC69" s="37" t="n">
        <f aca="false">SUMIFS('Raw Data'!$F$2:$F$114,'Raw Data'!$A$2:$A$114,$A69,'Raw Data'!$E$2:$E$114,"Creeper infinity cube")</f>
        <v>0</v>
      </c>
      <c r="AD69" s="37" t="n">
        <f aca="false">SUMIFS('Raw Data'!$F$2:$F$114,'Raw Data'!$A$2:$A$114,$A69,'Raw Data'!$E$2:$E$114,"Burger")</f>
        <v>0</v>
      </c>
      <c r="AE69" s="37" t="n">
        <f aca="false">SUMIFS('Raw Data'!$F$2:$F$114,'Raw Data'!$A$2:$A$114,$A69,'Raw Data'!$E$2:$E$114,"Full kit")</f>
        <v>0</v>
      </c>
      <c r="AF69" s="37" t="n">
        <f aca="false">SUMIFS('Raw Data'!$F$2:$F$114,'Raw Data'!$A$2:$A$114,$A69,'Raw Data'!$E$2:$E$114,"Kit w/ toroidal")</f>
        <v>0</v>
      </c>
    </row>
    <row r="70" customFormat="false" ht="15" hidden="false" customHeight="false" outlineLevel="0" collapsed="false">
      <c r="A70" s="17" t="s">
        <v>367</v>
      </c>
      <c r="B70" s="38" t="n">
        <v>46312.5559490741</v>
      </c>
      <c r="C70" s="38" t="n">
        <v>46312.5560069445</v>
      </c>
      <c r="D70" s="16" t="n">
        <f aca="false">(C70-B70)*86400</f>
        <v>5</v>
      </c>
      <c r="E70" s="17" t="s">
        <v>253</v>
      </c>
      <c r="F70" s="17" t="s">
        <v>256</v>
      </c>
      <c r="G70" s="16" t="n">
        <f aca="false">SUMIFS('Raw Data'!$G$2:$G$114,'Raw Data'!$A$2:$A$114,A70)</f>
        <v>10</v>
      </c>
      <c r="H70" s="16" t="n">
        <f aca="false">SUMIFS('Raw Data'!$F$2:$F$114,'Raw Data'!$A$2:$A$114,A70)</f>
        <v>3</v>
      </c>
      <c r="I70" s="16" t="n">
        <f aca="false">SUMIFS('Raw Data'!$K$2:$K$114,'Raw Data'!$A$2:$A$114,A70)</f>
        <v>1</v>
      </c>
      <c r="J70" s="16" t="n">
        <f aca="false">COUNTIF(Q70:AF70,"&gt;0")</f>
        <v>2</v>
      </c>
      <c r="K70" s="16" t="n">
        <f aca="false">COUNTIF(L70:P70,"&gt;0")</f>
        <v>1</v>
      </c>
      <c r="L70" s="37" t="n">
        <f aca="false">SUMIFS('Raw Data'!$F$2:$F$114,'Raw Data'!$A$2:$A$114,$A70,'Raw Data'!$L$2:$L$114,"Asian food")</f>
        <v>3</v>
      </c>
      <c r="M70" s="37" t="n">
        <f aca="false">SUMIFS('Raw Data'!$F$2:$F$114,'Raw Data'!$A$2:$A$114,$A70,'Raw Data'!$L$2:$L$114,"Snacks &amp; treats")</f>
        <v>0</v>
      </c>
      <c r="N70" s="37" t="n">
        <f aca="false">SUMIFS('Raw Data'!$F$2:$F$114,'Raw Data'!$A$2:$A$114,$A70,'Raw Data'!$L$2:$L$114,"Minecraft")</f>
        <v>0</v>
      </c>
      <c r="O70" s="37" t="n">
        <f aca="false">SUMIFS('Raw Data'!$F$2:$F$114,'Raw Data'!$A$2:$A$114,$A70,'Raw Data'!$L$2:$L$114,"Workshop")</f>
        <v>0</v>
      </c>
      <c r="P70" s="37" t="n">
        <f aca="false">SUMIFS('Raw Data'!$F$2:$F$114,'Raw Data'!$A$2:$A$114,$A70,'Raw Data'!$L$2:$L$114,"Copters")</f>
        <v>0</v>
      </c>
      <c r="Q70" s="37" t="n">
        <f aca="false">SUMIFS('Raw Data'!$F$2:$F$114,'Raw Data'!$A$2:$A$114,$A70,'Raw Data'!$E$2:$E$114,"Egg tart")</f>
        <v>0</v>
      </c>
      <c r="R70" s="37" t="n">
        <f aca="false">SUMIFS('Raw Data'!$F$2:$F$114,'Raw Data'!$A$2:$A$114,$A70,'Raw Data'!$E$2:$E$114,"Hot dog bun")</f>
        <v>0</v>
      </c>
      <c r="S70" s="37" t="n">
        <f aca="false">SUMIFS('Raw Data'!$F$2:$F$114,'Raw Data'!$A$2:$A$114,$A70,'Raw Data'!$E$2:$E$114,"S'mores")</f>
        <v>0</v>
      </c>
      <c r="T70" s="37" t="n">
        <f aca="false">SUMIFS('Raw Data'!$F$2:$F$114,'Raw Data'!$A$2:$A$114,$A70,'Raw Data'!$E$2:$E$114,"Chocolate bar")</f>
        <v>0</v>
      </c>
      <c r="U70" s="37" t="n">
        <f aca="false">SUMIFS('Raw Data'!$F$2:$F$114,'Raw Data'!$A$2:$A$114,$A70,'Raw Data'!$E$2:$E$114,"Avocado")</f>
        <v>0</v>
      </c>
      <c r="V70" s="37" t="n">
        <f aca="false">SUMIFS('Raw Data'!$F$2:$F$114,'Raw Data'!$A$2:$A$114,$A70,'Raw Data'!$E$2:$E$114,"Dumpling")</f>
        <v>0</v>
      </c>
      <c r="W70" s="37" t="n">
        <f aca="false">SUMIFS('Raw Data'!$F$2:$F$114,'Raw Data'!$A$2:$A$114,$A70,'Raw Data'!$E$2:$E$114,"Creeper")</f>
        <v>0</v>
      </c>
      <c r="X70" s="37" t="n">
        <f aca="false">SUMIFS('Raw Data'!$F$2:$F$114,'Raw Data'!$A$2:$A$114,$A70,'Raw Data'!$E$2:$E$114,"Oreo")</f>
        <v>0</v>
      </c>
      <c r="Y70" s="37" t="n">
        <f aca="false">SUMIFS('Raw Data'!$F$2:$F$114,'Raw Data'!$A$2:$A$114,$A70,'Raw Data'!$E$2:$E$114,"Spam musubi")</f>
        <v>2</v>
      </c>
      <c r="Z70" s="37" t="n">
        <f aca="false">SUMIFS('Raw Data'!$F$2:$F$114,'Raw Data'!$A$2:$A$114,$A70,'Raw Data'!$E$2:$E$114,"Salmon nigiri")</f>
        <v>1</v>
      </c>
      <c r="AA70" s="37" t="n">
        <f aca="false">SUMIFS('Raw Data'!$F$2:$F$114,'Raw Data'!$A$2:$A$114,$A70,'Raw Data'!$E$2:$E$114,"LEGO brick")</f>
        <v>0</v>
      </c>
      <c r="AB70" s="37" t="n">
        <f aca="false">SUMIFS('Raw Data'!$F$2:$F$114,'Raw Data'!$A$2:$A$114,$A70,'Raw Data'!$E$2:$E$114,"WD-40")</f>
        <v>0</v>
      </c>
      <c r="AC70" s="37" t="n">
        <f aca="false">SUMIFS('Raw Data'!$F$2:$F$114,'Raw Data'!$A$2:$A$114,$A70,'Raw Data'!$E$2:$E$114,"Creeper infinity cube")</f>
        <v>0</v>
      </c>
      <c r="AD70" s="37" t="n">
        <f aca="false">SUMIFS('Raw Data'!$F$2:$F$114,'Raw Data'!$A$2:$A$114,$A70,'Raw Data'!$E$2:$E$114,"Burger")</f>
        <v>0</v>
      </c>
      <c r="AE70" s="37" t="n">
        <f aca="false">SUMIFS('Raw Data'!$F$2:$F$114,'Raw Data'!$A$2:$A$114,$A70,'Raw Data'!$E$2:$E$114,"Full kit")</f>
        <v>0</v>
      </c>
      <c r="AF70" s="37" t="n">
        <f aca="false">SUMIFS('Raw Data'!$F$2:$F$114,'Raw Data'!$A$2:$A$114,$A70,'Raw Data'!$E$2:$E$114,"Kit w/ toroidal")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22"/>
    <col collapsed="false" customWidth="true" hidden="false" outlineLevel="0" max="13" min="6" style="0" width="14"/>
  </cols>
  <sheetData>
    <row r="1" customFormat="false" ht="23.85" hidden="false" customHeight="false" outlineLevel="0" collapsed="false">
      <c r="A1" s="7" t="s">
        <v>368</v>
      </c>
      <c r="B1" s="7" t="s">
        <v>369</v>
      </c>
      <c r="C1" s="7" t="s">
        <v>370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376</v>
      </c>
      <c r="J1" s="7" t="s">
        <v>377</v>
      </c>
      <c r="K1" s="7" t="s">
        <v>378</v>
      </c>
      <c r="L1" s="7" t="s">
        <v>379</v>
      </c>
      <c r="M1" s="7" t="s">
        <v>380</v>
      </c>
    </row>
    <row r="2" customFormat="false" ht="15" hidden="false" customHeight="false" outlineLevel="0" collapsed="false">
      <c r="A2" s="39" t="s">
        <v>299</v>
      </c>
      <c r="B2" s="40" t="n">
        <v>46312.4179861111</v>
      </c>
      <c r="C2" s="40" t="n">
        <v>46312.4242013889</v>
      </c>
      <c r="D2" s="39" t="s">
        <v>381</v>
      </c>
      <c r="E2" s="39" t="s">
        <v>156</v>
      </c>
      <c r="F2" s="39" t="n">
        <v>1</v>
      </c>
      <c r="G2" s="39" t="n">
        <v>4</v>
      </c>
      <c r="H2" s="39" t="n">
        <v>10</v>
      </c>
      <c r="I2" s="39" t="s">
        <v>251</v>
      </c>
      <c r="J2" s="39" t="s">
        <v>256</v>
      </c>
      <c r="K2" s="39" t="n">
        <v>1</v>
      </c>
      <c r="L2" s="39" t="str">
        <f aca="false">IFERROR(INDEX('Design Ranking'!$B$12:$B$25,MATCH(E2,'Design Ranking'!$A$12:$A$25,0)),IF(D2="Copters","Copters","Other"))</f>
        <v>Asian food</v>
      </c>
      <c r="M2" s="39" t="n">
        <f aca="false">MIN(F2,'Design Ranking'!$B$6)</f>
        <v>1</v>
      </c>
    </row>
    <row r="3" customFormat="false" ht="15" hidden="false" customHeight="false" outlineLevel="0" collapsed="false">
      <c r="A3" s="39" t="s">
        <v>299</v>
      </c>
      <c r="B3" s="40" t="n">
        <v>46312.4179861111</v>
      </c>
      <c r="C3" s="40" t="n">
        <v>46312.4242013889</v>
      </c>
      <c r="D3" s="39" t="s">
        <v>381</v>
      </c>
      <c r="E3" s="39" t="s">
        <v>137</v>
      </c>
      <c r="F3" s="39" t="n">
        <v>1</v>
      </c>
      <c r="G3" s="39" t="n">
        <v>3</v>
      </c>
      <c r="H3" s="39" t="n">
        <v>10</v>
      </c>
      <c r="I3" s="39" t="s">
        <v>251</v>
      </c>
      <c r="J3" s="39" t="s">
        <v>256</v>
      </c>
      <c r="K3" s="39"/>
      <c r="L3" s="39" t="str">
        <f aca="false">IFERROR(INDEX('Design Ranking'!$B$12:$B$25,MATCH(E3,'Design Ranking'!$A$12:$A$25,0)),IF(D3="Copters","Copters","Other"))</f>
        <v>Asian food</v>
      </c>
      <c r="M3" s="39" t="n">
        <f aca="false">MIN(F3,'Design Ranking'!$B$6)</f>
        <v>1</v>
      </c>
    </row>
    <row r="4" customFormat="false" ht="15" hidden="false" customHeight="false" outlineLevel="0" collapsed="false">
      <c r="A4" s="39" t="s">
        <v>299</v>
      </c>
      <c r="B4" s="40" t="n">
        <v>46312.4179861111</v>
      </c>
      <c r="C4" s="40" t="n">
        <v>46312.4242013889</v>
      </c>
      <c r="D4" s="39" t="s">
        <v>381</v>
      </c>
      <c r="E4" s="39" t="s">
        <v>153</v>
      </c>
      <c r="F4" s="39" t="n">
        <v>1</v>
      </c>
      <c r="G4" s="39" t="n">
        <v>3</v>
      </c>
      <c r="H4" s="39" t="n">
        <v>10</v>
      </c>
      <c r="I4" s="39" t="s">
        <v>251</v>
      </c>
      <c r="J4" s="39" t="s">
        <v>256</v>
      </c>
      <c r="K4" s="39"/>
      <c r="L4" s="39" t="str">
        <f aca="false">IFERROR(INDEX('Design Ranking'!$B$12:$B$25,MATCH(E4,'Design Ranking'!$A$12:$A$25,0)),IF(D4="Copters","Copters","Other"))</f>
        <v>Workshop</v>
      </c>
      <c r="M4" s="39" t="n">
        <f aca="false">MIN(F4,'Design Ranking'!$B$6)</f>
        <v>1</v>
      </c>
    </row>
    <row r="5" customFormat="false" ht="15" hidden="false" customHeight="false" outlineLevel="0" collapsed="false">
      <c r="A5" s="39" t="s">
        <v>300</v>
      </c>
      <c r="B5" s="40" t="n">
        <v>46312.4272222222</v>
      </c>
      <c r="C5" s="40" t="n">
        <v>46312.4276736111</v>
      </c>
      <c r="D5" s="39" t="s">
        <v>381</v>
      </c>
      <c r="E5" s="39" t="s">
        <v>142</v>
      </c>
      <c r="F5" s="39" t="n">
        <v>1</v>
      </c>
      <c r="G5" s="39" t="n">
        <v>4</v>
      </c>
      <c r="H5" s="39" t="n">
        <v>4</v>
      </c>
      <c r="I5" s="39" t="s">
        <v>251</v>
      </c>
      <c r="J5" s="39" t="s">
        <v>255</v>
      </c>
      <c r="K5" s="39" t="n">
        <v>0</v>
      </c>
      <c r="L5" s="39" t="str">
        <f aca="false">IFERROR(INDEX('Design Ranking'!$B$12:$B$25,MATCH(E5,'Design Ranking'!$A$12:$A$25,0)),IF(D5="Copters","Copters","Other"))</f>
        <v>Minecraft</v>
      </c>
      <c r="M5" s="39" t="n">
        <f aca="false">MIN(F5,'Design Ranking'!$B$6)</f>
        <v>1</v>
      </c>
    </row>
    <row r="6" customFormat="false" ht="15" hidden="false" customHeight="false" outlineLevel="0" collapsed="false">
      <c r="A6" s="39" t="s">
        <v>301</v>
      </c>
      <c r="B6" s="40" t="n">
        <v>46312.4307523148</v>
      </c>
      <c r="C6" s="40" t="n">
        <v>46312.4312847222</v>
      </c>
      <c r="D6" s="39" t="s">
        <v>381</v>
      </c>
      <c r="E6" s="39" t="s">
        <v>137</v>
      </c>
      <c r="F6" s="39" t="n">
        <v>1</v>
      </c>
      <c r="G6" s="39" t="n">
        <v>4</v>
      </c>
      <c r="H6" s="39" t="n">
        <v>4</v>
      </c>
      <c r="I6" s="39" t="s">
        <v>251</v>
      </c>
      <c r="J6" s="39" t="s">
        <v>255</v>
      </c>
      <c r="K6" s="39" t="n">
        <v>0</v>
      </c>
      <c r="L6" s="39" t="str">
        <f aca="false">IFERROR(INDEX('Design Ranking'!$B$12:$B$25,MATCH(E6,'Design Ranking'!$A$12:$A$25,0)),IF(D6="Copters","Copters","Other"))</f>
        <v>Asian food</v>
      </c>
      <c r="M6" s="39" t="n">
        <f aca="false">MIN(F6,'Design Ranking'!$B$6)</f>
        <v>1</v>
      </c>
    </row>
    <row r="7" customFormat="false" ht="15" hidden="false" customHeight="false" outlineLevel="0" collapsed="false">
      <c r="A7" s="39" t="s">
        <v>302</v>
      </c>
      <c r="B7" s="40" t="n">
        <v>46312.4313888889</v>
      </c>
      <c r="C7" s="40" t="n">
        <v>46312.4314930556</v>
      </c>
      <c r="D7" s="39" t="s">
        <v>381</v>
      </c>
      <c r="E7" s="39" t="s">
        <v>155</v>
      </c>
      <c r="F7" s="39" t="n">
        <v>1</v>
      </c>
      <c r="G7" s="39" t="n">
        <v>4</v>
      </c>
      <c r="H7" s="39" t="n">
        <v>7</v>
      </c>
      <c r="I7" s="39" t="s">
        <v>252</v>
      </c>
      <c r="J7" s="39" t="s">
        <v>255</v>
      </c>
      <c r="K7" s="39" t="n">
        <v>0</v>
      </c>
      <c r="L7" s="39" t="str">
        <f aca="false">IFERROR(INDEX('Design Ranking'!$B$12:$B$25,MATCH(E7,'Design Ranking'!$A$12:$A$25,0)),IF(D7="Copters","Copters","Other"))</f>
        <v>Minecraft</v>
      </c>
      <c r="M7" s="39" t="n">
        <f aca="false">MIN(F7,'Design Ranking'!$B$6)</f>
        <v>1</v>
      </c>
    </row>
    <row r="8" customFormat="false" ht="15" hidden="false" customHeight="false" outlineLevel="0" collapsed="false">
      <c r="A8" s="39" t="s">
        <v>302</v>
      </c>
      <c r="B8" s="40" t="n">
        <v>46312.4313888889</v>
      </c>
      <c r="C8" s="40" t="n">
        <v>46312.4314930556</v>
      </c>
      <c r="D8" s="39" t="s">
        <v>381</v>
      </c>
      <c r="E8" s="39" t="s">
        <v>145</v>
      </c>
      <c r="F8" s="39" t="n">
        <v>1</v>
      </c>
      <c r="G8" s="39" t="n">
        <v>3</v>
      </c>
      <c r="H8" s="39" t="n">
        <v>7</v>
      </c>
      <c r="I8" s="39" t="s">
        <v>252</v>
      </c>
      <c r="J8" s="39" t="s">
        <v>255</v>
      </c>
      <c r="K8" s="39"/>
      <c r="L8" s="39" t="str">
        <f aca="false">IFERROR(INDEX('Design Ranking'!$B$12:$B$25,MATCH(E8,'Design Ranking'!$A$12:$A$25,0)),IF(D8="Copters","Copters","Other"))</f>
        <v>Snacks &amp; treats</v>
      </c>
      <c r="M8" s="39" t="n">
        <f aca="false">MIN(F8,'Design Ranking'!$B$6)</f>
        <v>1</v>
      </c>
    </row>
    <row r="9" customFormat="false" ht="15" hidden="false" customHeight="false" outlineLevel="0" collapsed="false">
      <c r="A9" s="39" t="s">
        <v>303</v>
      </c>
      <c r="B9" s="40" t="n">
        <v>46312.4315740741</v>
      </c>
      <c r="C9" s="40" t="n">
        <v>46312.4315972222</v>
      </c>
      <c r="D9" s="39" t="s">
        <v>381</v>
      </c>
      <c r="E9" s="39" t="s">
        <v>145</v>
      </c>
      <c r="F9" s="39" t="n">
        <v>1</v>
      </c>
      <c r="G9" s="39" t="n">
        <v>4</v>
      </c>
      <c r="H9" s="39" t="n">
        <v>4</v>
      </c>
      <c r="I9" s="39"/>
      <c r="J9" s="39"/>
      <c r="K9" s="39" t="n">
        <v>0</v>
      </c>
      <c r="L9" s="39" t="str">
        <f aca="false">IFERROR(INDEX('Design Ranking'!$B$12:$B$25,MATCH(E9,'Design Ranking'!$A$12:$A$25,0)),IF(D9="Copters","Copters","Other"))</f>
        <v>Snacks &amp; treats</v>
      </c>
      <c r="M9" s="39" t="n">
        <f aca="false">MIN(F9,'Design Ranking'!$B$6)</f>
        <v>1</v>
      </c>
    </row>
    <row r="10" customFormat="false" ht="15" hidden="false" customHeight="false" outlineLevel="0" collapsed="false">
      <c r="A10" s="39" t="s">
        <v>304</v>
      </c>
      <c r="B10" s="40" t="n">
        <v>46312.4329513889</v>
      </c>
      <c r="C10" s="40" t="n">
        <v>46312.4329976852</v>
      </c>
      <c r="D10" s="39" t="s">
        <v>381</v>
      </c>
      <c r="E10" s="39" t="s">
        <v>150</v>
      </c>
      <c r="F10" s="39" t="n">
        <v>1</v>
      </c>
      <c r="G10" s="39" t="n">
        <v>4</v>
      </c>
      <c r="H10" s="39" t="n">
        <v>10</v>
      </c>
      <c r="I10" s="39"/>
      <c r="J10" s="39"/>
      <c r="K10" s="39" t="n">
        <v>1</v>
      </c>
      <c r="L10" s="39" t="str">
        <f aca="false">IFERROR(INDEX('Design Ranking'!$B$12:$B$25,MATCH(E10,'Design Ranking'!$A$12:$A$25,0)),IF(D10="Copters","Copters","Other"))</f>
        <v>Snacks &amp; treats</v>
      </c>
      <c r="M10" s="39" t="n">
        <f aca="false">MIN(F10,'Design Ranking'!$B$6)</f>
        <v>1</v>
      </c>
    </row>
    <row r="11" customFormat="false" ht="15" hidden="false" customHeight="false" outlineLevel="0" collapsed="false">
      <c r="A11" s="39" t="s">
        <v>304</v>
      </c>
      <c r="B11" s="40" t="n">
        <v>46312.4329513889</v>
      </c>
      <c r="C11" s="40" t="n">
        <v>46312.4329976852</v>
      </c>
      <c r="D11" s="39" t="s">
        <v>381</v>
      </c>
      <c r="E11" s="39" t="s">
        <v>140</v>
      </c>
      <c r="F11" s="39" t="n">
        <v>1</v>
      </c>
      <c r="G11" s="39" t="n">
        <v>3</v>
      </c>
      <c r="H11" s="39" t="n">
        <v>10</v>
      </c>
      <c r="I11" s="39"/>
      <c r="J11" s="39"/>
      <c r="K11" s="39"/>
      <c r="L11" s="39" t="str">
        <f aca="false">IFERROR(INDEX('Design Ranking'!$B$12:$B$25,MATCH(E11,'Design Ranking'!$A$12:$A$25,0)),IF(D11="Copters","Copters","Other"))</f>
        <v>Asian food</v>
      </c>
      <c r="M11" s="39" t="n">
        <f aca="false">MIN(F11,'Design Ranking'!$B$6)</f>
        <v>1</v>
      </c>
    </row>
    <row r="12" customFormat="false" ht="15" hidden="false" customHeight="false" outlineLevel="0" collapsed="false">
      <c r="A12" s="39" t="s">
        <v>304</v>
      </c>
      <c r="B12" s="40" t="n">
        <v>46312.4329513889</v>
      </c>
      <c r="C12" s="40" t="n">
        <v>46312.4329976852</v>
      </c>
      <c r="D12" s="39" t="s">
        <v>381</v>
      </c>
      <c r="E12" s="39" t="s">
        <v>142</v>
      </c>
      <c r="F12" s="39" t="n">
        <v>1</v>
      </c>
      <c r="G12" s="39" t="n">
        <v>3</v>
      </c>
      <c r="H12" s="39" t="n">
        <v>10</v>
      </c>
      <c r="I12" s="39"/>
      <c r="J12" s="39"/>
      <c r="K12" s="39"/>
      <c r="L12" s="39" t="str">
        <f aca="false">IFERROR(INDEX('Design Ranking'!$B$12:$B$25,MATCH(E12,'Design Ranking'!$A$12:$A$25,0)),IF(D12="Copters","Copters","Other"))</f>
        <v>Minecraft</v>
      </c>
      <c r="M12" s="39" t="n">
        <f aca="false">MIN(F12,'Design Ranking'!$B$6)</f>
        <v>1</v>
      </c>
    </row>
    <row r="13" customFormat="false" ht="15" hidden="false" customHeight="false" outlineLevel="0" collapsed="false">
      <c r="A13" s="39" t="s">
        <v>305</v>
      </c>
      <c r="B13" s="40" t="n">
        <v>46312.4347569444</v>
      </c>
      <c r="C13" s="40" t="n">
        <v>46312.4347800926</v>
      </c>
      <c r="D13" s="39" t="s">
        <v>381</v>
      </c>
      <c r="E13" s="39" t="s">
        <v>156</v>
      </c>
      <c r="F13" s="39" t="n">
        <v>1</v>
      </c>
      <c r="G13" s="39" t="n">
        <v>4</v>
      </c>
      <c r="H13" s="39" t="n">
        <v>7</v>
      </c>
      <c r="I13" s="39"/>
      <c r="J13" s="39"/>
      <c r="K13" s="39" t="n">
        <v>0</v>
      </c>
      <c r="L13" s="39" t="str">
        <f aca="false">IFERROR(INDEX('Design Ranking'!$B$12:$B$25,MATCH(E13,'Design Ranking'!$A$12:$A$25,0)),IF(D13="Copters","Copters","Other"))</f>
        <v>Asian food</v>
      </c>
      <c r="M13" s="39" t="n">
        <f aca="false">MIN(F13,'Design Ranking'!$B$6)</f>
        <v>1</v>
      </c>
    </row>
    <row r="14" customFormat="false" ht="15" hidden="false" customHeight="false" outlineLevel="0" collapsed="false">
      <c r="A14" s="39" t="s">
        <v>305</v>
      </c>
      <c r="B14" s="40" t="n">
        <v>46312.4347569444</v>
      </c>
      <c r="C14" s="40" t="n">
        <v>46312.4347800926</v>
      </c>
      <c r="D14" s="39" t="s">
        <v>381</v>
      </c>
      <c r="E14" s="39" t="s">
        <v>140</v>
      </c>
      <c r="F14" s="39" t="n">
        <v>1</v>
      </c>
      <c r="G14" s="39" t="n">
        <v>3</v>
      </c>
      <c r="H14" s="39" t="n">
        <v>7</v>
      </c>
      <c r="I14" s="39"/>
      <c r="J14" s="39"/>
      <c r="K14" s="39"/>
      <c r="L14" s="39" t="str">
        <f aca="false">IFERROR(INDEX('Design Ranking'!$B$12:$B$25,MATCH(E14,'Design Ranking'!$A$12:$A$25,0)),IF(D14="Copters","Copters","Other"))</f>
        <v>Asian food</v>
      </c>
      <c r="M14" s="39" t="n">
        <f aca="false">MIN(F14,'Design Ranking'!$B$6)</f>
        <v>1</v>
      </c>
    </row>
    <row r="15" customFormat="false" ht="15" hidden="false" customHeight="false" outlineLevel="0" collapsed="false">
      <c r="A15" s="39" t="s">
        <v>306</v>
      </c>
      <c r="B15" s="40" t="n">
        <v>46312.4416319444</v>
      </c>
      <c r="C15" s="40" t="n">
        <v>46312.441712963</v>
      </c>
      <c r="D15" s="39" t="s">
        <v>381</v>
      </c>
      <c r="E15" s="39" t="s">
        <v>153</v>
      </c>
      <c r="F15" s="39" t="n">
        <v>1</v>
      </c>
      <c r="G15" s="39" t="n">
        <v>4</v>
      </c>
      <c r="H15" s="39" t="n">
        <v>7</v>
      </c>
      <c r="I15" s="39" t="s">
        <v>251</v>
      </c>
      <c r="J15" s="39" t="s">
        <v>255</v>
      </c>
      <c r="K15" s="39" t="n">
        <v>0</v>
      </c>
      <c r="L15" s="39" t="str">
        <f aca="false">IFERROR(INDEX('Design Ranking'!$B$12:$B$25,MATCH(E15,'Design Ranking'!$A$12:$A$25,0)),IF(D15="Copters","Copters","Other"))</f>
        <v>Workshop</v>
      </c>
      <c r="M15" s="39" t="n">
        <f aca="false">MIN(F15,'Design Ranking'!$B$6)</f>
        <v>1</v>
      </c>
    </row>
    <row r="16" customFormat="false" ht="15" hidden="false" customHeight="false" outlineLevel="0" collapsed="false">
      <c r="A16" s="39" t="s">
        <v>306</v>
      </c>
      <c r="B16" s="40" t="n">
        <v>46312.4416319444</v>
      </c>
      <c r="C16" s="40" t="n">
        <v>46312.441712963</v>
      </c>
      <c r="D16" s="39" t="s">
        <v>381</v>
      </c>
      <c r="E16" s="39" t="s">
        <v>151</v>
      </c>
      <c r="F16" s="39" t="n">
        <v>1</v>
      </c>
      <c r="G16" s="39" t="n">
        <v>3</v>
      </c>
      <c r="H16" s="39" t="n">
        <v>7</v>
      </c>
      <c r="I16" s="39" t="s">
        <v>251</v>
      </c>
      <c r="J16" s="39" t="s">
        <v>255</v>
      </c>
      <c r="K16" s="39"/>
      <c r="L16" s="39" t="str">
        <f aca="false">IFERROR(INDEX('Design Ranking'!$B$12:$B$25,MATCH(E16,'Design Ranking'!$A$12:$A$25,0)),IF(D16="Copters","Copters","Other"))</f>
        <v>Snacks &amp; treats</v>
      </c>
      <c r="M16" s="39" t="n">
        <f aca="false">MIN(F16,'Design Ranking'!$B$6)</f>
        <v>1</v>
      </c>
    </row>
    <row r="17" customFormat="false" ht="15" hidden="false" customHeight="false" outlineLevel="0" collapsed="false">
      <c r="A17" s="39" t="s">
        <v>307</v>
      </c>
      <c r="B17" s="40" t="n">
        <v>46312.4428125</v>
      </c>
      <c r="C17" s="40" t="n">
        <v>46312.4428472222</v>
      </c>
      <c r="D17" s="39" t="s">
        <v>65</v>
      </c>
      <c r="E17" s="39" t="s">
        <v>247</v>
      </c>
      <c r="F17" s="39" t="n">
        <v>1</v>
      </c>
      <c r="G17" s="39" t="n">
        <v>6</v>
      </c>
      <c r="H17" s="39" t="n">
        <v>6</v>
      </c>
      <c r="I17" s="39" t="s">
        <v>251</v>
      </c>
      <c r="J17" s="39" t="s">
        <v>255</v>
      </c>
      <c r="K17" s="39" t="n">
        <v>0</v>
      </c>
      <c r="L17" s="39" t="str">
        <f aca="false">IFERROR(INDEX('Design Ranking'!$B$12:$B$25,MATCH(E17,'Design Ranking'!$A$12:$A$25,0)),IF(D17="Copters","Copters","Other"))</f>
        <v>Copters</v>
      </c>
      <c r="M17" s="39" t="n">
        <f aca="false">MIN(F17,'Design Ranking'!$B$6)</f>
        <v>1</v>
      </c>
    </row>
    <row r="18" customFormat="false" ht="15" hidden="false" customHeight="false" outlineLevel="0" collapsed="false">
      <c r="A18" s="39" t="s">
        <v>308</v>
      </c>
      <c r="B18" s="40" t="n">
        <v>46312.4429166667</v>
      </c>
      <c r="C18" s="40" t="n">
        <v>46312.4430208333</v>
      </c>
      <c r="D18" s="39" t="s">
        <v>381</v>
      </c>
      <c r="E18" s="39" t="s">
        <v>155</v>
      </c>
      <c r="F18" s="39" t="n">
        <v>1</v>
      </c>
      <c r="G18" s="39" t="n">
        <v>4</v>
      </c>
      <c r="H18" s="39" t="n">
        <v>10</v>
      </c>
      <c r="I18" s="39" t="s">
        <v>252</v>
      </c>
      <c r="J18" s="39" t="s">
        <v>255</v>
      </c>
      <c r="K18" s="39" t="n">
        <v>1</v>
      </c>
      <c r="L18" s="39" t="str">
        <f aca="false">IFERROR(INDEX('Design Ranking'!$B$12:$B$25,MATCH(E18,'Design Ranking'!$A$12:$A$25,0)),IF(D18="Copters","Copters","Other"))</f>
        <v>Minecraft</v>
      </c>
      <c r="M18" s="39" t="n">
        <f aca="false">MIN(F18,'Design Ranking'!$B$6)</f>
        <v>1</v>
      </c>
    </row>
    <row r="19" customFormat="false" ht="15" hidden="false" customHeight="false" outlineLevel="0" collapsed="false">
      <c r="A19" s="39" t="s">
        <v>308</v>
      </c>
      <c r="B19" s="40" t="n">
        <v>46312.4429166667</v>
      </c>
      <c r="C19" s="40" t="n">
        <v>46312.4430208333</v>
      </c>
      <c r="D19" s="39" t="s">
        <v>381</v>
      </c>
      <c r="E19" s="39" t="s">
        <v>140</v>
      </c>
      <c r="F19" s="39" t="n">
        <v>2</v>
      </c>
      <c r="G19" s="39" t="n">
        <v>6</v>
      </c>
      <c r="H19" s="39" t="n">
        <v>10</v>
      </c>
      <c r="I19" s="39" t="s">
        <v>252</v>
      </c>
      <c r="J19" s="39" t="s">
        <v>255</v>
      </c>
      <c r="K19" s="39"/>
      <c r="L19" s="39" t="str">
        <f aca="false">IFERROR(INDEX('Design Ranking'!$B$12:$B$25,MATCH(E19,'Design Ranking'!$A$12:$A$25,0)),IF(D19="Copters","Copters","Other"))</f>
        <v>Asian food</v>
      </c>
      <c r="M19" s="39" t="n">
        <f aca="false">MIN(F19,'Design Ranking'!$B$6)</f>
        <v>2</v>
      </c>
    </row>
    <row r="20" customFormat="false" ht="15" hidden="false" customHeight="false" outlineLevel="0" collapsed="false">
      <c r="A20" s="39" t="s">
        <v>309</v>
      </c>
      <c r="B20" s="40" t="n">
        <v>46312.4453125</v>
      </c>
      <c r="C20" s="40" t="n">
        <v>46312.4453472222</v>
      </c>
      <c r="D20" s="39" t="s">
        <v>381</v>
      </c>
      <c r="E20" s="39" t="s">
        <v>145</v>
      </c>
      <c r="F20" s="39" t="n">
        <v>1</v>
      </c>
      <c r="G20" s="39" t="n">
        <v>4</v>
      </c>
      <c r="H20" s="39" t="n">
        <v>10</v>
      </c>
      <c r="I20" s="39"/>
      <c r="J20" s="39"/>
      <c r="K20" s="39" t="n">
        <v>1</v>
      </c>
      <c r="L20" s="39" t="str">
        <f aca="false">IFERROR(INDEX('Design Ranking'!$B$12:$B$25,MATCH(E20,'Design Ranking'!$A$12:$A$25,0)),IF(D20="Copters","Copters","Other"))</f>
        <v>Snacks &amp; treats</v>
      </c>
      <c r="M20" s="39" t="n">
        <f aca="false">MIN(F20,'Design Ranking'!$B$6)</f>
        <v>1</v>
      </c>
    </row>
    <row r="21" customFormat="false" ht="15" hidden="false" customHeight="false" outlineLevel="0" collapsed="false">
      <c r="A21" s="39" t="s">
        <v>309</v>
      </c>
      <c r="B21" s="40" t="n">
        <v>46312.4453125</v>
      </c>
      <c r="C21" s="40" t="n">
        <v>46312.4453472222</v>
      </c>
      <c r="D21" s="39" t="s">
        <v>381</v>
      </c>
      <c r="E21" s="39" t="s">
        <v>140</v>
      </c>
      <c r="F21" s="39" t="n">
        <v>1</v>
      </c>
      <c r="G21" s="39" t="n">
        <v>3</v>
      </c>
      <c r="H21" s="39" t="n">
        <v>10</v>
      </c>
      <c r="I21" s="39"/>
      <c r="J21" s="39"/>
      <c r="K21" s="39"/>
      <c r="L21" s="39" t="str">
        <f aca="false">IFERROR(INDEX('Design Ranking'!$B$12:$B$25,MATCH(E21,'Design Ranking'!$A$12:$A$25,0)),IF(D21="Copters","Copters","Other"))</f>
        <v>Asian food</v>
      </c>
      <c r="M21" s="39" t="n">
        <f aca="false">MIN(F21,'Design Ranking'!$B$6)</f>
        <v>1</v>
      </c>
    </row>
    <row r="22" customFormat="false" ht="15" hidden="false" customHeight="false" outlineLevel="0" collapsed="false">
      <c r="A22" s="39" t="s">
        <v>309</v>
      </c>
      <c r="B22" s="40" t="n">
        <v>46312.4453125</v>
      </c>
      <c r="C22" s="40" t="n">
        <v>46312.4453472222</v>
      </c>
      <c r="D22" s="39" t="s">
        <v>381</v>
      </c>
      <c r="E22" s="39" t="s">
        <v>159</v>
      </c>
      <c r="F22" s="39" t="n">
        <v>1</v>
      </c>
      <c r="G22" s="39" t="n">
        <v>3</v>
      </c>
      <c r="H22" s="39" t="n">
        <v>10</v>
      </c>
      <c r="I22" s="39"/>
      <c r="J22" s="39"/>
      <c r="K22" s="39"/>
      <c r="L22" s="39" t="str">
        <f aca="false">IFERROR(INDEX('Design Ranking'!$B$12:$B$25,MATCH(E22,'Design Ranking'!$A$12:$A$25,0)),IF(D22="Copters","Copters","Other"))</f>
        <v>Workshop</v>
      </c>
      <c r="M22" s="39" t="n">
        <f aca="false">MIN(F22,'Design Ranking'!$B$6)</f>
        <v>1</v>
      </c>
    </row>
    <row r="23" customFormat="false" ht="15" hidden="false" customHeight="false" outlineLevel="0" collapsed="false">
      <c r="A23" s="39" t="s">
        <v>310</v>
      </c>
      <c r="B23" s="40" t="n">
        <v>46312.4458333333</v>
      </c>
      <c r="C23" s="40" t="n">
        <v>46312.4460069445</v>
      </c>
      <c r="D23" s="39" t="s">
        <v>381</v>
      </c>
      <c r="E23" s="39" t="s">
        <v>150</v>
      </c>
      <c r="F23" s="39" t="n">
        <v>1</v>
      </c>
      <c r="G23" s="39" t="n">
        <v>4</v>
      </c>
      <c r="H23" s="39" t="n">
        <v>10</v>
      </c>
      <c r="I23" s="39" t="s">
        <v>252</v>
      </c>
      <c r="J23" s="39" t="s">
        <v>256</v>
      </c>
      <c r="K23" s="39" t="n">
        <v>1</v>
      </c>
      <c r="L23" s="39" t="str">
        <f aca="false">IFERROR(INDEX('Design Ranking'!$B$12:$B$25,MATCH(E23,'Design Ranking'!$A$12:$A$25,0)),IF(D23="Copters","Copters","Other"))</f>
        <v>Snacks &amp; treats</v>
      </c>
      <c r="M23" s="39" t="n">
        <f aca="false">MIN(F23,'Design Ranking'!$B$6)</f>
        <v>1</v>
      </c>
    </row>
    <row r="24" customFormat="false" ht="15" hidden="false" customHeight="false" outlineLevel="0" collapsed="false">
      <c r="A24" s="39" t="s">
        <v>310</v>
      </c>
      <c r="B24" s="40" t="n">
        <v>46312.4458333333</v>
      </c>
      <c r="C24" s="40" t="n">
        <v>46312.4460069445</v>
      </c>
      <c r="D24" s="39" t="s">
        <v>381</v>
      </c>
      <c r="E24" s="39" t="s">
        <v>140</v>
      </c>
      <c r="F24" s="39" t="n">
        <v>1</v>
      </c>
      <c r="G24" s="39" t="n">
        <v>3</v>
      </c>
      <c r="H24" s="39" t="n">
        <v>10</v>
      </c>
      <c r="I24" s="39" t="s">
        <v>252</v>
      </c>
      <c r="J24" s="39" t="s">
        <v>256</v>
      </c>
      <c r="K24" s="39"/>
      <c r="L24" s="39" t="str">
        <f aca="false">IFERROR(INDEX('Design Ranking'!$B$12:$B$25,MATCH(E24,'Design Ranking'!$A$12:$A$25,0)),IF(D24="Copters","Copters","Other"))</f>
        <v>Asian food</v>
      </c>
      <c r="M24" s="39" t="n">
        <f aca="false">MIN(F24,'Design Ranking'!$B$6)</f>
        <v>1</v>
      </c>
    </row>
    <row r="25" customFormat="false" ht="15" hidden="false" customHeight="false" outlineLevel="0" collapsed="false">
      <c r="A25" s="39" t="s">
        <v>310</v>
      </c>
      <c r="B25" s="40" t="n">
        <v>46312.4458333333</v>
      </c>
      <c r="C25" s="40" t="n">
        <v>46312.4460069445</v>
      </c>
      <c r="D25" s="39" t="s">
        <v>381</v>
      </c>
      <c r="E25" s="39" t="s">
        <v>159</v>
      </c>
      <c r="F25" s="39" t="n">
        <v>1</v>
      </c>
      <c r="G25" s="39" t="n">
        <v>3</v>
      </c>
      <c r="H25" s="39" t="n">
        <v>10</v>
      </c>
      <c r="I25" s="39" t="s">
        <v>252</v>
      </c>
      <c r="J25" s="39" t="s">
        <v>256</v>
      </c>
      <c r="K25" s="39"/>
      <c r="L25" s="39" t="str">
        <f aca="false">IFERROR(INDEX('Design Ranking'!$B$12:$B$25,MATCH(E25,'Design Ranking'!$A$12:$A$25,0)),IF(D25="Copters","Copters","Other"))</f>
        <v>Workshop</v>
      </c>
      <c r="M25" s="39" t="n">
        <f aca="false">MIN(F25,'Design Ranking'!$B$6)</f>
        <v>1</v>
      </c>
    </row>
    <row r="26" customFormat="false" ht="15" hidden="false" customHeight="false" outlineLevel="0" collapsed="false">
      <c r="A26" s="39" t="s">
        <v>311</v>
      </c>
      <c r="B26" s="40" t="n">
        <v>46312.4468055556</v>
      </c>
      <c r="C26" s="40" t="n">
        <v>46312.4468634259</v>
      </c>
      <c r="D26" s="39" t="s">
        <v>381</v>
      </c>
      <c r="E26" s="39" t="s">
        <v>140</v>
      </c>
      <c r="F26" s="39" t="n">
        <v>1</v>
      </c>
      <c r="G26" s="39" t="n">
        <v>4</v>
      </c>
      <c r="H26" s="39" t="n">
        <v>4</v>
      </c>
      <c r="I26" s="39" t="s">
        <v>252</v>
      </c>
      <c r="J26" s="39" t="s">
        <v>255</v>
      </c>
      <c r="K26" s="39" t="n">
        <v>0</v>
      </c>
      <c r="L26" s="39" t="str">
        <f aca="false">IFERROR(INDEX('Design Ranking'!$B$12:$B$25,MATCH(E26,'Design Ranking'!$A$12:$A$25,0)),IF(D26="Copters","Copters","Other"))</f>
        <v>Asian food</v>
      </c>
      <c r="M26" s="39" t="n">
        <f aca="false">MIN(F26,'Design Ranking'!$B$6)</f>
        <v>1</v>
      </c>
    </row>
    <row r="27" customFormat="false" ht="15" hidden="false" customHeight="false" outlineLevel="0" collapsed="false">
      <c r="A27" s="39" t="s">
        <v>312</v>
      </c>
      <c r="B27" s="40" t="n">
        <v>46312.4481134259</v>
      </c>
      <c r="C27" s="40" t="n">
        <v>46312.4484490741</v>
      </c>
      <c r="D27" s="39" t="s">
        <v>381</v>
      </c>
      <c r="E27" s="39" t="s">
        <v>155</v>
      </c>
      <c r="F27" s="39" t="n">
        <v>1</v>
      </c>
      <c r="G27" s="39" t="n">
        <v>4</v>
      </c>
      <c r="H27" s="39" t="n">
        <v>10</v>
      </c>
      <c r="I27" s="39" t="s">
        <v>251</v>
      </c>
      <c r="J27" s="39" t="s">
        <v>255</v>
      </c>
      <c r="K27" s="39" t="n">
        <v>1</v>
      </c>
      <c r="L27" s="39" t="str">
        <f aca="false">IFERROR(INDEX('Design Ranking'!$B$12:$B$25,MATCH(E27,'Design Ranking'!$A$12:$A$25,0)),IF(D27="Copters","Copters","Other"))</f>
        <v>Minecraft</v>
      </c>
      <c r="M27" s="39" t="n">
        <f aca="false">MIN(F27,'Design Ranking'!$B$6)</f>
        <v>1</v>
      </c>
    </row>
    <row r="28" customFormat="false" ht="15" hidden="false" customHeight="false" outlineLevel="0" collapsed="false">
      <c r="A28" s="39" t="s">
        <v>312</v>
      </c>
      <c r="B28" s="40" t="n">
        <v>46312.4481134259</v>
      </c>
      <c r="C28" s="40" t="n">
        <v>46312.4484490741</v>
      </c>
      <c r="D28" s="39" t="s">
        <v>381</v>
      </c>
      <c r="E28" s="39" t="s">
        <v>142</v>
      </c>
      <c r="F28" s="39" t="n">
        <v>1</v>
      </c>
      <c r="G28" s="39" t="n">
        <v>3</v>
      </c>
      <c r="H28" s="39" t="n">
        <v>10</v>
      </c>
      <c r="I28" s="39" t="s">
        <v>251</v>
      </c>
      <c r="J28" s="39" t="s">
        <v>255</v>
      </c>
      <c r="K28" s="39"/>
      <c r="L28" s="39" t="str">
        <f aca="false">IFERROR(INDEX('Design Ranking'!$B$12:$B$25,MATCH(E28,'Design Ranking'!$A$12:$A$25,0)),IF(D28="Copters","Copters","Other"))</f>
        <v>Minecraft</v>
      </c>
      <c r="M28" s="39" t="n">
        <f aca="false">MIN(F28,'Design Ranking'!$B$6)</f>
        <v>1</v>
      </c>
    </row>
    <row r="29" customFormat="false" ht="15" hidden="false" customHeight="false" outlineLevel="0" collapsed="false">
      <c r="A29" s="39" t="s">
        <v>312</v>
      </c>
      <c r="B29" s="40" t="n">
        <v>46312.4481134259</v>
      </c>
      <c r="C29" s="40" t="n">
        <v>46312.4484490741</v>
      </c>
      <c r="D29" s="39" t="s">
        <v>381</v>
      </c>
      <c r="E29" s="39" t="s">
        <v>137</v>
      </c>
      <c r="F29" s="39" t="n">
        <v>1</v>
      </c>
      <c r="G29" s="39" t="n">
        <v>3</v>
      </c>
      <c r="H29" s="39" t="n">
        <v>10</v>
      </c>
      <c r="I29" s="39" t="s">
        <v>251</v>
      </c>
      <c r="J29" s="39" t="s">
        <v>255</v>
      </c>
      <c r="K29" s="39"/>
      <c r="L29" s="39" t="str">
        <f aca="false">IFERROR(INDEX('Design Ranking'!$B$12:$B$25,MATCH(E29,'Design Ranking'!$A$12:$A$25,0)),IF(D29="Copters","Copters","Other"))</f>
        <v>Asian food</v>
      </c>
      <c r="M29" s="39" t="n">
        <f aca="false">MIN(F29,'Design Ranking'!$B$6)</f>
        <v>1</v>
      </c>
    </row>
    <row r="30" customFormat="false" ht="15" hidden="false" customHeight="false" outlineLevel="0" collapsed="false">
      <c r="A30" s="39" t="s">
        <v>313</v>
      </c>
      <c r="B30" s="40" t="n">
        <v>46312.4509606482</v>
      </c>
      <c r="C30" s="40" t="n">
        <v>46312.4510532407</v>
      </c>
      <c r="D30" s="39" t="s">
        <v>381</v>
      </c>
      <c r="E30" s="39" t="s">
        <v>150</v>
      </c>
      <c r="F30" s="39" t="n">
        <v>1</v>
      </c>
      <c r="G30" s="39" t="n">
        <v>4</v>
      </c>
      <c r="H30" s="39" t="n">
        <v>4</v>
      </c>
      <c r="I30" s="39" t="s">
        <v>251</v>
      </c>
      <c r="J30" s="39" t="s">
        <v>256</v>
      </c>
      <c r="K30" s="39" t="n">
        <v>0</v>
      </c>
      <c r="L30" s="39" t="str">
        <f aca="false">IFERROR(INDEX('Design Ranking'!$B$12:$B$25,MATCH(E30,'Design Ranking'!$A$12:$A$25,0)),IF(D30="Copters","Copters","Other"))</f>
        <v>Snacks &amp; treats</v>
      </c>
      <c r="M30" s="39" t="n">
        <f aca="false">MIN(F30,'Design Ranking'!$B$6)</f>
        <v>1</v>
      </c>
    </row>
    <row r="31" customFormat="false" ht="15" hidden="false" customHeight="false" outlineLevel="0" collapsed="false">
      <c r="A31" s="39" t="s">
        <v>314</v>
      </c>
      <c r="B31" s="40" t="n">
        <v>46312.4525347222</v>
      </c>
      <c r="C31" s="40" t="n">
        <v>46312.4528819445</v>
      </c>
      <c r="D31" s="39" t="s">
        <v>381</v>
      </c>
      <c r="E31" s="39" t="s">
        <v>137</v>
      </c>
      <c r="F31" s="39" t="n">
        <v>1</v>
      </c>
      <c r="G31" s="39" t="n">
        <v>4</v>
      </c>
      <c r="H31" s="39" t="n">
        <v>4</v>
      </c>
      <c r="I31" s="39" t="s">
        <v>251</v>
      </c>
      <c r="J31" s="39" t="s">
        <v>255</v>
      </c>
      <c r="K31" s="39" t="n">
        <v>0</v>
      </c>
      <c r="L31" s="39" t="str">
        <f aca="false">IFERROR(INDEX('Design Ranking'!$B$12:$B$25,MATCH(E31,'Design Ranking'!$A$12:$A$25,0)),IF(D31="Copters","Copters","Other"))</f>
        <v>Asian food</v>
      </c>
      <c r="M31" s="39" t="n">
        <f aca="false">MIN(F31,'Design Ranking'!$B$6)</f>
        <v>1</v>
      </c>
    </row>
    <row r="32" customFormat="false" ht="15" hidden="false" customHeight="false" outlineLevel="0" collapsed="false">
      <c r="A32" s="39" t="s">
        <v>315</v>
      </c>
      <c r="B32" s="40" t="n">
        <v>46312.452962963</v>
      </c>
      <c r="C32" s="40" t="n">
        <v>46312.4530092593</v>
      </c>
      <c r="D32" s="39" t="s">
        <v>381</v>
      </c>
      <c r="E32" s="39" t="s">
        <v>155</v>
      </c>
      <c r="F32" s="39" t="n">
        <v>1</v>
      </c>
      <c r="G32" s="39" t="n">
        <v>4</v>
      </c>
      <c r="H32" s="39" t="n">
        <v>4</v>
      </c>
      <c r="I32" s="39" t="s">
        <v>251</v>
      </c>
      <c r="J32" s="39" t="s">
        <v>256</v>
      </c>
      <c r="K32" s="39" t="n">
        <v>0</v>
      </c>
      <c r="L32" s="39" t="str">
        <f aca="false">IFERROR(INDEX('Design Ranking'!$B$12:$B$25,MATCH(E32,'Design Ranking'!$A$12:$A$25,0)),IF(D32="Copters","Copters","Other"))</f>
        <v>Minecraft</v>
      </c>
      <c r="M32" s="39" t="n">
        <f aca="false">MIN(F32,'Design Ranking'!$B$6)</f>
        <v>1</v>
      </c>
    </row>
    <row r="33" customFormat="false" ht="15" hidden="false" customHeight="false" outlineLevel="0" collapsed="false">
      <c r="A33" s="39" t="s">
        <v>316</v>
      </c>
      <c r="B33" s="40" t="n">
        <v>46312.4563078704</v>
      </c>
      <c r="C33" s="40" t="n">
        <v>46312.4563657407</v>
      </c>
      <c r="D33" s="39" t="s">
        <v>381</v>
      </c>
      <c r="E33" s="39" t="s">
        <v>158</v>
      </c>
      <c r="F33" s="39" t="n">
        <v>2</v>
      </c>
      <c r="G33" s="39" t="n">
        <v>7</v>
      </c>
      <c r="H33" s="39" t="n">
        <v>10</v>
      </c>
      <c r="I33" s="39" t="s">
        <v>252</v>
      </c>
      <c r="J33" s="39" t="s">
        <v>256</v>
      </c>
      <c r="K33" s="39" t="n">
        <v>1</v>
      </c>
      <c r="L33" s="39" t="str">
        <f aca="false">IFERROR(INDEX('Design Ranking'!$B$12:$B$25,MATCH(E33,'Design Ranking'!$A$12:$A$25,0)),IF(D33="Copters","Copters","Other"))</f>
        <v>Snacks &amp; treats</v>
      </c>
      <c r="M33" s="39" t="n">
        <f aca="false">MIN(F33,'Design Ranking'!$B$6)</f>
        <v>2</v>
      </c>
    </row>
    <row r="34" customFormat="false" ht="15" hidden="false" customHeight="false" outlineLevel="0" collapsed="false">
      <c r="A34" s="39" t="s">
        <v>316</v>
      </c>
      <c r="B34" s="40" t="n">
        <v>46312.4563078704</v>
      </c>
      <c r="C34" s="40" t="n">
        <v>46312.4563657407</v>
      </c>
      <c r="D34" s="39" t="s">
        <v>381</v>
      </c>
      <c r="E34" s="39" t="s">
        <v>140</v>
      </c>
      <c r="F34" s="39" t="n">
        <v>1</v>
      </c>
      <c r="G34" s="39" t="n">
        <v>3</v>
      </c>
      <c r="H34" s="39" t="n">
        <v>10</v>
      </c>
      <c r="I34" s="39" t="s">
        <v>252</v>
      </c>
      <c r="J34" s="39" t="s">
        <v>256</v>
      </c>
      <c r="K34" s="39"/>
      <c r="L34" s="39" t="str">
        <f aca="false">IFERROR(INDEX('Design Ranking'!$B$12:$B$25,MATCH(E34,'Design Ranking'!$A$12:$A$25,0)),IF(D34="Copters","Copters","Other"))</f>
        <v>Asian food</v>
      </c>
      <c r="M34" s="39" t="n">
        <f aca="false">MIN(F34,'Design Ranking'!$B$6)</f>
        <v>1</v>
      </c>
    </row>
    <row r="35" customFormat="false" ht="15" hidden="false" customHeight="false" outlineLevel="0" collapsed="false">
      <c r="A35" s="39" t="s">
        <v>317</v>
      </c>
      <c r="B35" s="40" t="n">
        <v>46312.4584837963</v>
      </c>
      <c r="C35" s="40" t="n">
        <v>46312.4587037037</v>
      </c>
      <c r="D35" s="39" t="s">
        <v>381</v>
      </c>
      <c r="E35" s="39" t="s">
        <v>140</v>
      </c>
      <c r="F35" s="39" t="n">
        <v>1</v>
      </c>
      <c r="G35" s="39" t="n">
        <v>4</v>
      </c>
      <c r="H35" s="39" t="n">
        <v>4</v>
      </c>
      <c r="I35" s="39" t="s">
        <v>251</v>
      </c>
      <c r="J35" s="39" t="s">
        <v>255</v>
      </c>
      <c r="K35" s="39" t="n">
        <v>0</v>
      </c>
      <c r="L35" s="39" t="str">
        <f aca="false">IFERROR(INDEX('Design Ranking'!$B$12:$B$25,MATCH(E35,'Design Ranking'!$A$12:$A$25,0)),IF(D35="Copters","Copters","Other"))</f>
        <v>Asian food</v>
      </c>
      <c r="M35" s="39" t="n">
        <f aca="false">MIN(F35,'Design Ranking'!$B$6)</f>
        <v>1</v>
      </c>
    </row>
    <row r="36" customFormat="false" ht="15" hidden="false" customHeight="false" outlineLevel="0" collapsed="false">
      <c r="A36" s="39" t="s">
        <v>318</v>
      </c>
      <c r="B36" s="40" t="n">
        <v>46312.4600462963</v>
      </c>
      <c r="C36" s="40" t="n">
        <v>46312.4601041667</v>
      </c>
      <c r="D36" s="39" t="s">
        <v>65</v>
      </c>
      <c r="E36" s="39" t="s">
        <v>246</v>
      </c>
      <c r="F36" s="39" t="n">
        <v>1</v>
      </c>
      <c r="G36" s="39" t="n">
        <v>5</v>
      </c>
      <c r="H36" s="39" t="n">
        <v>5</v>
      </c>
      <c r="I36" s="39"/>
      <c r="J36" s="39"/>
      <c r="K36" s="39" t="n">
        <v>0</v>
      </c>
      <c r="L36" s="39" t="str">
        <f aca="false">IFERROR(INDEX('Design Ranking'!$B$12:$B$25,MATCH(E36,'Design Ranking'!$A$12:$A$25,0)),IF(D36="Copters","Copters","Other"))</f>
        <v>Copters</v>
      </c>
      <c r="M36" s="39" t="n">
        <f aca="false">MIN(F36,'Design Ranking'!$B$6)</f>
        <v>1</v>
      </c>
    </row>
    <row r="37" customFormat="false" ht="15" hidden="false" customHeight="false" outlineLevel="0" collapsed="false">
      <c r="A37" s="39" t="s">
        <v>319</v>
      </c>
      <c r="B37" s="40" t="n">
        <v>46312.4626041667</v>
      </c>
      <c r="C37" s="40" t="n">
        <v>46312.4626273148</v>
      </c>
      <c r="D37" s="39" t="s">
        <v>381</v>
      </c>
      <c r="E37" s="39" t="s">
        <v>150</v>
      </c>
      <c r="F37" s="39" t="n">
        <v>1</v>
      </c>
      <c r="G37" s="39" t="n">
        <v>4</v>
      </c>
      <c r="H37" s="39" t="n">
        <v>4</v>
      </c>
      <c r="I37" s="39" t="s">
        <v>251</v>
      </c>
      <c r="J37" s="39" t="s">
        <v>255</v>
      </c>
      <c r="K37" s="39" t="n">
        <v>0</v>
      </c>
      <c r="L37" s="39" t="str">
        <f aca="false">IFERROR(INDEX('Design Ranking'!$B$12:$B$25,MATCH(E37,'Design Ranking'!$A$12:$A$25,0)),IF(D37="Copters","Copters","Other"))</f>
        <v>Snacks &amp; treats</v>
      </c>
      <c r="M37" s="39" t="n">
        <f aca="false">MIN(F37,'Design Ranking'!$B$6)</f>
        <v>1</v>
      </c>
    </row>
    <row r="38" customFormat="false" ht="15" hidden="false" customHeight="false" outlineLevel="0" collapsed="false">
      <c r="A38" s="39" t="s">
        <v>320</v>
      </c>
      <c r="B38" s="40" t="n">
        <v>46312.4631481482</v>
      </c>
      <c r="C38" s="40" t="n">
        <v>46312.4638194444</v>
      </c>
      <c r="D38" s="39" t="s">
        <v>381</v>
      </c>
      <c r="E38" s="39" t="s">
        <v>148</v>
      </c>
      <c r="F38" s="39" t="n">
        <v>1</v>
      </c>
      <c r="G38" s="39" t="n">
        <v>4</v>
      </c>
      <c r="H38" s="39" t="n">
        <v>4</v>
      </c>
      <c r="I38" s="39"/>
      <c r="J38" s="39"/>
      <c r="K38" s="39" t="n">
        <v>0</v>
      </c>
      <c r="L38" s="39" t="str">
        <f aca="false">IFERROR(INDEX('Design Ranking'!$B$12:$B$25,MATCH(E38,'Design Ranking'!$A$12:$A$25,0)),IF(D38="Copters","Copters","Other"))</f>
        <v>Asian food</v>
      </c>
      <c r="M38" s="39" t="n">
        <f aca="false">MIN(F38,'Design Ranking'!$B$6)</f>
        <v>1</v>
      </c>
    </row>
    <row r="39" customFormat="false" ht="15" hidden="false" customHeight="false" outlineLevel="0" collapsed="false">
      <c r="A39" s="39" t="s">
        <v>321</v>
      </c>
      <c r="B39" s="40" t="n">
        <v>46312.4641435185</v>
      </c>
      <c r="C39" s="40" t="n">
        <v>46312.4642476852</v>
      </c>
      <c r="D39" s="39" t="s">
        <v>381</v>
      </c>
      <c r="E39" s="39" t="s">
        <v>155</v>
      </c>
      <c r="F39" s="39" t="n">
        <v>1</v>
      </c>
      <c r="G39" s="39" t="n">
        <v>4</v>
      </c>
      <c r="H39" s="39" t="n">
        <v>10</v>
      </c>
      <c r="I39" s="39" t="s">
        <v>251</v>
      </c>
      <c r="J39" s="39" t="s">
        <v>255</v>
      </c>
      <c r="K39" s="39" t="n">
        <v>1</v>
      </c>
      <c r="L39" s="39" t="str">
        <f aca="false">IFERROR(INDEX('Design Ranking'!$B$12:$B$25,MATCH(E39,'Design Ranking'!$A$12:$A$25,0)),IF(D39="Copters","Copters","Other"))</f>
        <v>Minecraft</v>
      </c>
      <c r="M39" s="39" t="n">
        <f aca="false">MIN(F39,'Design Ranking'!$B$6)</f>
        <v>1</v>
      </c>
    </row>
    <row r="40" customFormat="false" ht="15" hidden="false" customHeight="false" outlineLevel="0" collapsed="false">
      <c r="A40" s="39" t="s">
        <v>321</v>
      </c>
      <c r="B40" s="40" t="n">
        <v>46312.4641435185</v>
      </c>
      <c r="C40" s="40" t="n">
        <v>46312.4642476852</v>
      </c>
      <c r="D40" s="39" t="s">
        <v>381</v>
      </c>
      <c r="E40" s="39" t="s">
        <v>150</v>
      </c>
      <c r="F40" s="39" t="n">
        <v>1</v>
      </c>
      <c r="G40" s="39" t="n">
        <v>3</v>
      </c>
      <c r="H40" s="39" t="n">
        <v>10</v>
      </c>
      <c r="I40" s="39" t="s">
        <v>251</v>
      </c>
      <c r="J40" s="39" t="s">
        <v>255</v>
      </c>
      <c r="K40" s="39"/>
      <c r="L40" s="39" t="str">
        <f aca="false">IFERROR(INDEX('Design Ranking'!$B$12:$B$25,MATCH(E40,'Design Ranking'!$A$12:$A$25,0)),IF(D40="Copters","Copters","Other"))</f>
        <v>Snacks &amp; treats</v>
      </c>
      <c r="M40" s="39" t="n">
        <f aca="false">MIN(F40,'Design Ranking'!$B$6)</f>
        <v>1</v>
      </c>
    </row>
    <row r="41" customFormat="false" ht="15" hidden="false" customHeight="false" outlineLevel="0" collapsed="false">
      <c r="A41" s="39" t="s">
        <v>321</v>
      </c>
      <c r="B41" s="40" t="n">
        <v>46312.4641435185</v>
      </c>
      <c r="C41" s="40" t="n">
        <v>46312.4642476852</v>
      </c>
      <c r="D41" s="39" t="s">
        <v>381</v>
      </c>
      <c r="E41" s="39" t="s">
        <v>153</v>
      </c>
      <c r="F41" s="39" t="n">
        <v>1</v>
      </c>
      <c r="G41" s="39" t="n">
        <v>3</v>
      </c>
      <c r="H41" s="39" t="n">
        <v>10</v>
      </c>
      <c r="I41" s="39" t="s">
        <v>251</v>
      </c>
      <c r="J41" s="39" t="s">
        <v>255</v>
      </c>
      <c r="K41" s="39"/>
      <c r="L41" s="39" t="str">
        <f aca="false">IFERROR(INDEX('Design Ranking'!$B$12:$B$25,MATCH(E41,'Design Ranking'!$A$12:$A$25,0)),IF(D41="Copters","Copters","Other"))</f>
        <v>Workshop</v>
      </c>
      <c r="M41" s="39" t="n">
        <f aca="false">MIN(F41,'Design Ranking'!$B$6)</f>
        <v>1</v>
      </c>
    </row>
    <row r="42" customFormat="false" ht="15" hidden="false" customHeight="false" outlineLevel="0" collapsed="false">
      <c r="A42" s="39" t="s">
        <v>322</v>
      </c>
      <c r="B42" s="40" t="n">
        <v>46312.4643171296</v>
      </c>
      <c r="C42" s="40" t="n">
        <v>46312.4644560185</v>
      </c>
      <c r="D42" s="39" t="s">
        <v>381</v>
      </c>
      <c r="E42" s="39" t="s">
        <v>151</v>
      </c>
      <c r="F42" s="39" t="n">
        <v>1</v>
      </c>
      <c r="G42" s="39" t="n">
        <v>4</v>
      </c>
      <c r="H42" s="39" t="n">
        <v>10</v>
      </c>
      <c r="I42" s="39" t="s">
        <v>251</v>
      </c>
      <c r="J42" s="39" t="s">
        <v>255</v>
      </c>
      <c r="K42" s="39" t="n">
        <v>1</v>
      </c>
      <c r="L42" s="39" t="str">
        <f aca="false">IFERROR(INDEX('Design Ranking'!$B$12:$B$25,MATCH(E42,'Design Ranking'!$A$12:$A$25,0)),IF(D42="Copters","Copters","Other"))</f>
        <v>Snacks &amp; treats</v>
      </c>
      <c r="M42" s="39" t="n">
        <f aca="false">MIN(F42,'Design Ranking'!$B$6)</f>
        <v>1</v>
      </c>
    </row>
    <row r="43" customFormat="false" ht="15" hidden="false" customHeight="false" outlineLevel="0" collapsed="false">
      <c r="A43" s="39" t="s">
        <v>322</v>
      </c>
      <c r="B43" s="40" t="n">
        <v>46312.4643171296</v>
      </c>
      <c r="C43" s="40" t="n">
        <v>46312.4644560185</v>
      </c>
      <c r="D43" s="39" t="s">
        <v>381</v>
      </c>
      <c r="E43" s="39" t="s">
        <v>137</v>
      </c>
      <c r="F43" s="39" t="n">
        <v>1</v>
      </c>
      <c r="G43" s="39" t="n">
        <v>3</v>
      </c>
      <c r="H43" s="39" t="n">
        <v>10</v>
      </c>
      <c r="I43" s="39" t="s">
        <v>251</v>
      </c>
      <c r="J43" s="39" t="s">
        <v>255</v>
      </c>
      <c r="K43" s="39"/>
      <c r="L43" s="39" t="str">
        <f aca="false">IFERROR(INDEX('Design Ranking'!$B$12:$B$25,MATCH(E43,'Design Ranking'!$A$12:$A$25,0)),IF(D43="Copters","Copters","Other"))</f>
        <v>Asian food</v>
      </c>
      <c r="M43" s="39" t="n">
        <f aca="false">MIN(F43,'Design Ranking'!$B$6)</f>
        <v>1</v>
      </c>
    </row>
    <row r="44" customFormat="false" ht="15" hidden="false" customHeight="false" outlineLevel="0" collapsed="false">
      <c r="A44" s="39" t="s">
        <v>322</v>
      </c>
      <c r="B44" s="40" t="n">
        <v>46312.4643171296</v>
      </c>
      <c r="C44" s="40" t="n">
        <v>46312.4644560185</v>
      </c>
      <c r="D44" s="39" t="s">
        <v>381</v>
      </c>
      <c r="E44" s="39" t="s">
        <v>142</v>
      </c>
      <c r="F44" s="39" t="n">
        <v>1</v>
      </c>
      <c r="G44" s="39" t="n">
        <v>3</v>
      </c>
      <c r="H44" s="39" t="n">
        <v>10</v>
      </c>
      <c r="I44" s="39" t="s">
        <v>251</v>
      </c>
      <c r="J44" s="39" t="s">
        <v>255</v>
      </c>
      <c r="K44" s="39"/>
      <c r="L44" s="39" t="str">
        <f aca="false">IFERROR(INDEX('Design Ranking'!$B$12:$B$25,MATCH(E44,'Design Ranking'!$A$12:$A$25,0)),IF(D44="Copters","Copters","Other"))</f>
        <v>Minecraft</v>
      </c>
      <c r="M44" s="39" t="n">
        <f aca="false">MIN(F44,'Design Ranking'!$B$6)</f>
        <v>1</v>
      </c>
    </row>
    <row r="45" customFormat="false" ht="15" hidden="false" customHeight="false" outlineLevel="0" collapsed="false">
      <c r="A45" s="39" t="s">
        <v>323</v>
      </c>
      <c r="B45" s="40" t="n">
        <v>46312.4682407407</v>
      </c>
      <c r="C45" s="40" t="n">
        <v>46312.4682523148</v>
      </c>
      <c r="D45" s="39" t="s">
        <v>381</v>
      </c>
      <c r="E45" s="39" t="s">
        <v>140</v>
      </c>
      <c r="F45" s="39" t="n">
        <v>1</v>
      </c>
      <c r="G45" s="39" t="n">
        <v>4</v>
      </c>
      <c r="H45" s="39" t="n">
        <v>4</v>
      </c>
      <c r="I45" s="39" t="s">
        <v>251</v>
      </c>
      <c r="J45" s="39" t="s">
        <v>255</v>
      </c>
      <c r="K45" s="39" t="n">
        <v>0</v>
      </c>
      <c r="L45" s="39" t="str">
        <f aca="false">IFERROR(INDEX('Design Ranking'!$B$12:$B$25,MATCH(E45,'Design Ranking'!$A$12:$A$25,0)),IF(D45="Copters","Copters","Other"))</f>
        <v>Asian food</v>
      </c>
      <c r="M45" s="39" t="n">
        <f aca="false">MIN(F45,'Design Ranking'!$B$6)</f>
        <v>1</v>
      </c>
    </row>
    <row r="46" customFormat="false" ht="15" hidden="false" customHeight="false" outlineLevel="0" collapsed="false">
      <c r="A46" s="39" t="s">
        <v>324</v>
      </c>
      <c r="B46" s="40" t="n">
        <v>46312.4686689815</v>
      </c>
      <c r="C46" s="40" t="n">
        <v>46312.4686921296</v>
      </c>
      <c r="D46" s="39" t="s">
        <v>381</v>
      </c>
      <c r="E46" s="39" t="s">
        <v>137</v>
      </c>
      <c r="F46" s="39" t="n">
        <v>1</v>
      </c>
      <c r="G46" s="39" t="n">
        <v>4</v>
      </c>
      <c r="H46" s="39" t="n">
        <v>4</v>
      </c>
      <c r="I46" s="39" t="s">
        <v>251</v>
      </c>
      <c r="J46" s="39" t="s">
        <v>256</v>
      </c>
      <c r="K46" s="39" t="n">
        <v>0</v>
      </c>
      <c r="L46" s="39" t="str">
        <f aca="false">IFERROR(INDEX('Design Ranking'!$B$12:$B$25,MATCH(E46,'Design Ranking'!$A$12:$A$25,0)),IF(D46="Copters","Copters","Other"))</f>
        <v>Asian food</v>
      </c>
      <c r="M46" s="39" t="n">
        <f aca="false">MIN(F46,'Design Ranking'!$B$6)</f>
        <v>1</v>
      </c>
    </row>
    <row r="47" customFormat="false" ht="15" hidden="false" customHeight="false" outlineLevel="0" collapsed="false">
      <c r="A47" s="39" t="s">
        <v>325</v>
      </c>
      <c r="B47" s="40" t="n">
        <v>46312.4689814815</v>
      </c>
      <c r="C47" s="40" t="n">
        <v>46312.4690162037</v>
      </c>
      <c r="D47" s="39" t="s">
        <v>381</v>
      </c>
      <c r="E47" s="39" t="s">
        <v>148</v>
      </c>
      <c r="F47" s="39" t="n">
        <v>1</v>
      </c>
      <c r="G47" s="39" t="n">
        <v>4</v>
      </c>
      <c r="H47" s="39" t="n">
        <v>4</v>
      </c>
      <c r="I47" s="39" t="s">
        <v>252</v>
      </c>
      <c r="J47" s="39" t="s">
        <v>256</v>
      </c>
      <c r="K47" s="39" t="n">
        <v>0</v>
      </c>
      <c r="L47" s="39" t="str">
        <f aca="false">IFERROR(INDEX('Design Ranking'!$B$12:$B$25,MATCH(E47,'Design Ranking'!$A$12:$A$25,0)),IF(D47="Copters","Copters","Other"))</f>
        <v>Asian food</v>
      </c>
      <c r="M47" s="39" t="n">
        <f aca="false">MIN(F47,'Design Ranking'!$B$6)</f>
        <v>1</v>
      </c>
    </row>
    <row r="48" customFormat="false" ht="15" hidden="false" customHeight="false" outlineLevel="0" collapsed="false">
      <c r="A48" s="39" t="s">
        <v>326</v>
      </c>
      <c r="B48" s="40" t="n">
        <v>46312.4690740741</v>
      </c>
      <c r="C48" s="40" t="n">
        <v>46312.4690972222</v>
      </c>
      <c r="D48" s="39" t="s">
        <v>381</v>
      </c>
      <c r="E48" s="39" t="s">
        <v>150</v>
      </c>
      <c r="F48" s="39" t="n">
        <v>1</v>
      </c>
      <c r="G48" s="39" t="n">
        <v>4</v>
      </c>
      <c r="H48" s="39" t="n">
        <v>4</v>
      </c>
      <c r="I48" s="39" t="s">
        <v>251</v>
      </c>
      <c r="J48" s="39" t="s">
        <v>256</v>
      </c>
      <c r="K48" s="39" t="n">
        <v>0</v>
      </c>
      <c r="L48" s="39" t="str">
        <f aca="false">IFERROR(INDEX('Design Ranking'!$B$12:$B$25,MATCH(E48,'Design Ranking'!$A$12:$A$25,0)),IF(D48="Copters","Copters","Other"))</f>
        <v>Snacks &amp; treats</v>
      </c>
      <c r="M48" s="39" t="n">
        <f aca="false">MIN(F48,'Design Ranking'!$B$6)</f>
        <v>1</v>
      </c>
    </row>
    <row r="49" customFormat="false" ht="15" hidden="false" customHeight="false" outlineLevel="0" collapsed="false">
      <c r="A49" s="39" t="s">
        <v>327</v>
      </c>
      <c r="B49" s="40" t="n">
        <v>46312.4692708333</v>
      </c>
      <c r="C49" s="40" t="n">
        <v>46312.4694791667</v>
      </c>
      <c r="D49" s="39" t="s">
        <v>381</v>
      </c>
      <c r="E49" s="39" t="s">
        <v>150</v>
      </c>
      <c r="F49" s="39" t="n">
        <v>1</v>
      </c>
      <c r="G49" s="39" t="n">
        <v>4</v>
      </c>
      <c r="H49" s="39" t="n">
        <v>4</v>
      </c>
      <c r="I49" s="39"/>
      <c r="J49" s="39"/>
      <c r="K49" s="39" t="n">
        <v>0</v>
      </c>
      <c r="L49" s="39" t="str">
        <f aca="false">IFERROR(INDEX('Design Ranking'!$B$12:$B$25,MATCH(E49,'Design Ranking'!$A$12:$A$25,0)),IF(D49="Copters","Copters","Other"))</f>
        <v>Snacks &amp; treats</v>
      </c>
      <c r="M49" s="39" t="n">
        <f aca="false">MIN(F49,'Design Ranking'!$B$6)</f>
        <v>1</v>
      </c>
    </row>
    <row r="50" customFormat="false" ht="15" hidden="false" customHeight="false" outlineLevel="0" collapsed="false">
      <c r="A50" s="39" t="s">
        <v>328</v>
      </c>
      <c r="B50" s="40" t="n">
        <v>46312.4694907407</v>
      </c>
      <c r="C50" s="40" t="n">
        <v>46312.469525463</v>
      </c>
      <c r="D50" s="39" t="s">
        <v>381</v>
      </c>
      <c r="E50" s="39" t="s">
        <v>142</v>
      </c>
      <c r="F50" s="39" t="n">
        <v>1</v>
      </c>
      <c r="G50" s="39" t="n">
        <v>4</v>
      </c>
      <c r="H50" s="39" t="n">
        <v>4</v>
      </c>
      <c r="I50" s="39" t="s">
        <v>251</v>
      </c>
      <c r="J50" s="39" t="s">
        <v>255</v>
      </c>
      <c r="K50" s="39" t="n">
        <v>0</v>
      </c>
      <c r="L50" s="39" t="str">
        <f aca="false">IFERROR(INDEX('Design Ranking'!$B$12:$B$25,MATCH(E50,'Design Ranking'!$A$12:$A$25,0)),IF(D50="Copters","Copters","Other"))</f>
        <v>Minecraft</v>
      </c>
      <c r="M50" s="39" t="n">
        <f aca="false">MIN(F50,'Design Ranking'!$B$6)</f>
        <v>1</v>
      </c>
    </row>
    <row r="51" customFormat="false" ht="15" hidden="false" customHeight="false" outlineLevel="0" collapsed="false">
      <c r="A51" s="39" t="s">
        <v>329</v>
      </c>
      <c r="B51" s="40" t="n">
        <v>46312.4699305556</v>
      </c>
      <c r="C51" s="40" t="n">
        <v>46312.4699537037</v>
      </c>
      <c r="D51" s="39" t="s">
        <v>381</v>
      </c>
      <c r="E51" s="39" t="s">
        <v>150</v>
      </c>
      <c r="F51" s="39" t="n">
        <v>1</v>
      </c>
      <c r="G51" s="39" t="n">
        <v>4</v>
      </c>
      <c r="H51" s="39" t="n">
        <v>4</v>
      </c>
      <c r="I51" s="39"/>
      <c r="J51" s="39"/>
      <c r="K51" s="39" t="n">
        <v>0</v>
      </c>
      <c r="L51" s="39" t="str">
        <f aca="false">IFERROR(INDEX('Design Ranking'!$B$12:$B$25,MATCH(E51,'Design Ranking'!$A$12:$A$25,0)),IF(D51="Copters","Copters","Other"))</f>
        <v>Snacks &amp; treats</v>
      </c>
      <c r="M51" s="39" t="n">
        <f aca="false">MIN(F51,'Design Ranking'!$B$6)</f>
        <v>1</v>
      </c>
    </row>
    <row r="52" customFormat="false" ht="15" hidden="false" customHeight="false" outlineLevel="0" collapsed="false">
      <c r="A52" s="39" t="s">
        <v>330</v>
      </c>
      <c r="B52" s="40" t="n">
        <v>46312.4702314815</v>
      </c>
      <c r="C52" s="40" t="n">
        <v>46312.4702546296</v>
      </c>
      <c r="D52" s="39" t="s">
        <v>381</v>
      </c>
      <c r="E52" s="39" t="s">
        <v>140</v>
      </c>
      <c r="F52" s="39" t="n">
        <v>1</v>
      </c>
      <c r="G52" s="39" t="n">
        <v>4</v>
      </c>
      <c r="H52" s="39" t="n">
        <v>4</v>
      </c>
      <c r="I52" s="39" t="s">
        <v>251</v>
      </c>
      <c r="J52" s="39" t="s">
        <v>256</v>
      </c>
      <c r="K52" s="39" t="n">
        <v>0</v>
      </c>
      <c r="L52" s="39" t="str">
        <f aca="false">IFERROR(INDEX('Design Ranking'!$B$12:$B$25,MATCH(E52,'Design Ranking'!$A$12:$A$25,0)),IF(D52="Copters","Copters","Other"))</f>
        <v>Asian food</v>
      </c>
      <c r="M52" s="39" t="n">
        <f aca="false">MIN(F52,'Design Ranking'!$B$6)</f>
        <v>1</v>
      </c>
    </row>
    <row r="53" customFormat="false" ht="15" hidden="false" customHeight="false" outlineLevel="0" collapsed="false">
      <c r="A53" s="39" t="s">
        <v>331</v>
      </c>
      <c r="B53" s="40" t="n">
        <v>46312.4719791667</v>
      </c>
      <c r="C53" s="40" t="n">
        <v>46312.4720023148</v>
      </c>
      <c r="D53" s="39" t="s">
        <v>381</v>
      </c>
      <c r="E53" s="39" t="s">
        <v>150</v>
      </c>
      <c r="F53" s="39" t="n">
        <v>1</v>
      </c>
      <c r="G53" s="39" t="n">
        <v>4</v>
      </c>
      <c r="H53" s="39" t="n">
        <v>7</v>
      </c>
      <c r="I53" s="39"/>
      <c r="J53" s="39"/>
      <c r="K53" s="39" t="n">
        <v>0</v>
      </c>
      <c r="L53" s="39" t="str">
        <f aca="false">IFERROR(INDEX('Design Ranking'!$B$12:$B$25,MATCH(E53,'Design Ranking'!$A$12:$A$25,0)),IF(D53="Copters","Copters","Other"))</f>
        <v>Snacks &amp; treats</v>
      </c>
      <c r="M53" s="39" t="n">
        <f aca="false">MIN(F53,'Design Ranking'!$B$6)</f>
        <v>1</v>
      </c>
    </row>
    <row r="54" customFormat="false" ht="15" hidden="false" customHeight="false" outlineLevel="0" collapsed="false">
      <c r="A54" s="39" t="s">
        <v>331</v>
      </c>
      <c r="B54" s="40" t="n">
        <v>46312.4719791667</v>
      </c>
      <c r="C54" s="40" t="n">
        <v>46312.4720023148</v>
      </c>
      <c r="D54" s="39" t="s">
        <v>381</v>
      </c>
      <c r="E54" s="39" t="s">
        <v>151</v>
      </c>
      <c r="F54" s="39" t="n">
        <v>1</v>
      </c>
      <c r="G54" s="39" t="n">
        <v>3</v>
      </c>
      <c r="H54" s="39" t="n">
        <v>7</v>
      </c>
      <c r="I54" s="39"/>
      <c r="J54" s="39"/>
      <c r="K54" s="39"/>
      <c r="L54" s="39" t="str">
        <f aca="false">IFERROR(INDEX('Design Ranking'!$B$12:$B$25,MATCH(E54,'Design Ranking'!$A$12:$A$25,0)),IF(D54="Copters","Copters","Other"))</f>
        <v>Snacks &amp; treats</v>
      </c>
      <c r="M54" s="39" t="n">
        <f aca="false">MIN(F54,'Design Ranking'!$B$6)</f>
        <v>1</v>
      </c>
    </row>
    <row r="55" customFormat="false" ht="15" hidden="false" customHeight="false" outlineLevel="0" collapsed="false">
      <c r="A55" s="39" t="s">
        <v>332</v>
      </c>
      <c r="B55" s="40" t="n">
        <v>46312.4721296296</v>
      </c>
      <c r="C55" s="40" t="n">
        <v>46312.4721412037</v>
      </c>
      <c r="D55" s="39" t="s">
        <v>381</v>
      </c>
      <c r="E55" s="39" t="s">
        <v>150</v>
      </c>
      <c r="F55" s="39" t="n">
        <v>1</v>
      </c>
      <c r="G55" s="39" t="n">
        <v>4</v>
      </c>
      <c r="H55" s="39" t="n">
        <v>4</v>
      </c>
      <c r="I55" s="39"/>
      <c r="J55" s="39"/>
      <c r="K55" s="39" t="n">
        <v>0</v>
      </c>
      <c r="L55" s="39" t="str">
        <f aca="false">IFERROR(INDEX('Design Ranking'!$B$12:$B$25,MATCH(E55,'Design Ranking'!$A$12:$A$25,0)),IF(D55="Copters","Copters","Other"))</f>
        <v>Snacks &amp; treats</v>
      </c>
      <c r="M55" s="39" t="n">
        <f aca="false">MIN(F55,'Design Ranking'!$B$6)</f>
        <v>1</v>
      </c>
    </row>
    <row r="56" customFormat="false" ht="15" hidden="false" customHeight="false" outlineLevel="0" collapsed="false">
      <c r="A56" s="39" t="s">
        <v>333</v>
      </c>
      <c r="B56" s="40" t="n">
        <v>46312.4730208333</v>
      </c>
      <c r="C56" s="40" t="n">
        <v>46312.4730324074</v>
      </c>
      <c r="D56" s="39" t="s">
        <v>381</v>
      </c>
      <c r="E56" s="39" t="s">
        <v>158</v>
      </c>
      <c r="F56" s="39" t="n">
        <v>1</v>
      </c>
      <c r="G56" s="39" t="n">
        <v>4</v>
      </c>
      <c r="H56" s="39" t="n">
        <v>4</v>
      </c>
      <c r="I56" s="39"/>
      <c r="J56" s="39"/>
      <c r="K56" s="39" t="n">
        <v>0</v>
      </c>
      <c r="L56" s="39" t="str">
        <f aca="false">IFERROR(INDEX('Design Ranking'!$B$12:$B$25,MATCH(E56,'Design Ranking'!$A$12:$A$25,0)),IF(D56="Copters","Copters","Other"))</f>
        <v>Snacks &amp; treats</v>
      </c>
      <c r="M56" s="39" t="n">
        <f aca="false">MIN(F56,'Design Ranking'!$B$6)</f>
        <v>1</v>
      </c>
    </row>
    <row r="57" customFormat="false" ht="15" hidden="false" customHeight="false" outlineLevel="0" collapsed="false">
      <c r="A57" s="39" t="s">
        <v>334</v>
      </c>
      <c r="B57" s="40" t="n">
        <v>46312.4733217593</v>
      </c>
      <c r="C57" s="40" t="n">
        <v>46312.4733796296</v>
      </c>
      <c r="D57" s="39" t="s">
        <v>381</v>
      </c>
      <c r="E57" s="39" t="s">
        <v>142</v>
      </c>
      <c r="F57" s="39" t="n">
        <v>1</v>
      </c>
      <c r="G57" s="39" t="n">
        <v>4</v>
      </c>
      <c r="H57" s="39" t="n">
        <v>4</v>
      </c>
      <c r="I57" s="39" t="s">
        <v>252</v>
      </c>
      <c r="J57" s="39" t="s">
        <v>255</v>
      </c>
      <c r="K57" s="39" t="n">
        <v>0</v>
      </c>
      <c r="L57" s="39" t="str">
        <f aca="false">IFERROR(INDEX('Design Ranking'!$B$12:$B$25,MATCH(E57,'Design Ranking'!$A$12:$A$25,0)),IF(D57="Copters","Copters","Other"))</f>
        <v>Minecraft</v>
      </c>
      <c r="M57" s="39" t="n">
        <f aca="false">MIN(F57,'Design Ranking'!$B$6)</f>
        <v>1</v>
      </c>
    </row>
    <row r="58" customFormat="false" ht="15" hidden="false" customHeight="false" outlineLevel="0" collapsed="false">
      <c r="A58" s="39" t="s">
        <v>335</v>
      </c>
      <c r="B58" s="40" t="n">
        <v>46312.4738425926</v>
      </c>
      <c r="C58" s="40" t="n">
        <v>46312.4738657407</v>
      </c>
      <c r="D58" s="39" t="s">
        <v>381</v>
      </c>
      <c r="E58" s="39" t="s">
        <v>142</v>
      </c>
      <c r="F58" s="39" t="n">
        <v>1</v>
      </c>
      <c r="G58" s="39" t="n">
        <v>4</v>
      </c>
      <c r="H58" s="39" t="n">
        <v>4</v>
      </c>
      <c r="I58" s="39"/>
      <c r="J58" s="39"/>
      <c r="K58" s="39" t="n">
        <v>0</v>
      </c>
      <c r="L58" s="39" t="str">
        <f aca="false">IFERROR(INDEX('Design Ranking'!$B$12:$B$25,MATCH(E58,'Design Ranking'!$A$12:$A$25,0)),IF(D58="Copters","Copters","Other"))</f>
        <v>Minecraft</v>
      </c>
      <c r="M58" s="39" t="n">
        <f aca="false">MIN(F58,'Design Ranking'!$B$6)</f>
        <v>1</v>
      </c>
    </row>
    <row r="59" customFormat="false" ht="15" hidden="false" customHeight="false" outlineLevel="0" collapsed="false">
      <c r="A59" s="39" t="s">
        <v>336</v>
      </c>
      <c r="B59" s="40" t="n">
        <v>46312.4744675926</v>
      </c>
      <c r="C59" s="40" t="n">
        <v>46312.474525463</v>
      </c>
      <c r="D59" s="39" t="s">
        <v>381</v>
      </c>
      <c r="E59" s="39" t="s">
        <v>145</v>
      </c>
      <c r="F59" s="39" t="n">
        <v>1</v>
      </c>
      <c r="G59" s="39" t="n">
        <v>4</v>
      </c>
      <c r="H59" s="39" t="n">
        <v>10</v>
      </c>
      <c r="I59" s="39"/>
      <c r="J59" s="39"/>
      <c r="K59" s="39" t="n">
        <v>1</v>
      </c>
      <c r="L59" s="39" t="str">
        <f aca="false">IFERROR(INDEX('Design Ranking'!$B$12:$B$25,MATCH(E59,'Design Ranking'!$A$12:$A$25,0)),IF(D59="Copters","Copters","Other"))</f>
        <v>Snacks &amp; treats</v>
      </c>
      <c r="M59" s="39" t="n">
        <f aca="false">MIN(F59,'Design Ranking'!$B$6)</f>
        <v>1</v>
      </c>
    </row>
    <row r="60" customFormat="false" ht="15" hidden="false" customHeight="false" outlineLevel="0" collapsed="false">
      <c r="A60" s="39" t="s">
        <v>336</v>
      </c>
      <c r="B60" s="40" t="n">
        <v>46312.4744675926</v>
      </c>
      <c r="C60" s="40" t="n">
        <v>46312.474525463</v>
      </c>
      <c r="D60" s="39" t="s">
        <v>381</v>
      </c>
      <c r="E60" s="39" t="s">
        <v>140</v>
      </c>
      <c r="F60" s="39" t="n">
        <v>1</v>
      </c>
      <c r="G60" s="39" t="n">
        <v>3</v>
      </c>
      <c r="H60" s="39" t="n">
        <v>10</v>
      </c>
      <c r="I60" s="39"/>
      <c r="J60" s="39"/>
      <c r="K60" s="39"/>
      <c r="L60" s="39" t="str">
        <f aca="false">IFERROR(INDEX('Design Ranking'!$B$12:$B$25,MATCH(E60,'Design Ranking'!$A$12:$A$25,0)),IF(D60="Copters","Copters","Other"))</f>
        <v>Asian food</v>
      </c>
      <c r="M60" s="39" t="n">
        <f aca="false">MIN(F60,'Design Ranking'!$B$6)</f>
        <v>1</v>
      </c>
    </row>
    <row r="61" customFormat="false" ht="15" hidden="false" customHeight="false" outlineLevel="0" collapsed="false">
      <c r="A61" s="39" t="s">
        <v>336</v>
      </c>
      <c r="B61" s="40" t="n">
        <v>46312.4744675926</v>
      </c>
      <c r="C61" s="40" t="n">
        <v>46312.474525463</v>
      </c>
      <c r="D61" s="39" t="s">
        <v>381</v>
      </c>
      <c r="E61" s="39" t="s">
        <v>137</v>
      </c>
      <c r="F61" s="39" t="n">
        <v>1</v>
      </c>
      <c r="G61" s="39" t="n">
        <v>3</v>
      </c>
      <c r="H61" s="39" t="n">
        <v>10</v>
      </c>
      <c r="I61" s="39"/>
      <c r="J61" s="39"/>
      <c r="K61" s="39"/>
      <c r="L61" s="39" t="str">
        <f aca="false">IFERROR(INDEX('Design Ranking'!$B$12:$B$25,MATCH(E61,'Design Ranking'!$A$12:$A$25,0)),IF(D61="Copters","Copters","Other"))</f>
        <v>Asian food</v>
      </c>
      <c r="M61" s="39" t="n">
        <f aca="false">MIN(F61,'Design Ranking'!$B$6)</f>
        <v>1</v>
      </c>
    </row>
    <row r="62" customFormat="false" ht="15" hidden="false" customHeight="false" outlineLevel="0" collapsed="false">
      <c r="A62" s="39" t="s">
        <v>337</v>
      </c>
      <c r="B62" s="40" t="n">
        <v>46312.4759953704</v>
      </c>
      <c r="C62" s="40" t="n">
        <v>46312.476875</v>
      </c>
      <c r="D62" s="39" t="s">
        <v>381</v>
      </c>
      <c r="E62" s="39" t="s">
        <v>142</v>
      </c>
      <c r="F62" s="39" t="n">
        <v>1</v>
      </c>
      <c r="G62" s="39" t="n">
        <v>4</v>
      </c>
      <c r="H62" s="39" t="n">
        <v>7</v>
      </c>
      <c r="I62" s="39" t="s">
        <v>253</v>
      </c>
      <c r="J62" s="39" t="s">
        <v>255</v>
      </c>
      <c r="K62" s="39" t="n">
        <v>0</v>
      </c>
      <c r="L62" s="39" t="str">
        <f aca="false">IFERROR(INDEX('Design Ranking'!$B$12:$B$25,MATCH(E62,'Design Ranking'!$A$12:$A$25,0)),IF(D62="Copters","Copters","Other"))</f>
        <v>Minecraft</v>
      </c>
      <c r="M62" s="39" t="n">
        <f aca="false">MIN(F62,'Design Ranking'!$B$6)</f>
        <v>1</v>
      </c>
    </row>
    <row r="63" customFormat="false" ht="15" hidden="false" customHeight="false" outlineLevel="0" collapsed="false">
      <c r="A63" s="39" t="s">
        <v>337</v>
      </c>
      <c r="B63" s="40" t="n">
        <v>46312.4759953704</v>
      </c>
      <c r="C63" s="40" t="n">
        <v>46312.476875</v>
      </c>
      <c r="D63" s="39" t="s">
        <v>381</v>
      </c>
      <c r="E63" s="39" t="s">
        <v>137</v>
      </c>
      <c r="F63" s="39" t="n">
        <v>1</v>
      </c>
      <c r="G63" s="39" t="n">
        <v>3</v>
      </c>
      <c r="H63" s="39" t="n">
        <v>7</v>
      </c>
      <c r="I63" s="39" t="s">
        <v>253</v>
      </c>
      <c r="J63" s="39" t="s">
        <v>255</v>
      </c>
      <c r="K63" s="39"/>
      <c r="L63" s="39" t="str">
        <f aca="false">IFERROR(INDEX('Design Ranking'!$B$12:$B$25,MATCH(E63,'Design Ranking'!$A$12:$A$25,0)),IF(D63="Copters","Copters","Other"))</f>
        <v>Asian food</v>
      </c>
      <c r="M63" s="39" t="n">
        <f aca="false">MIN(F63,'Design Ranking'!$B$6)</f>
        <v>1</v>
      </c>
    </row>
    <row r="64" customFormat="false" ht="15" hidden="false" customHeight="false" outlineLevel="0" collapsed="false">
      <c r="A64" s="39" t="s">
        <v>338</v>
      </c>
      <c r="B64" s="40" t="n">
        <v>46312.4805902778</v>
      </c>
      <c r="C64" s="40" t="n">
        <v>46312.4811226852</v>
      </c>
      <c r="D64" s="39" t="s">
        <v>381</v>
      </c>
      <c r="E64" s="39" t="s">
        <v>142</v>
      </c>
      <c r="F64" s="39" t="n">
        <v>1</v>
      </c>
      <c r="G64" s="39" t="n">
        <v>4</v>
      </c>
      <c r="H64" s="39" t="n">
        <v>10</v>
      </c>
      <c r="I64" s="39" t="s">
        <v>251</v>
      </c>
      <c r="J64" s="39" t="s">
        <v>256</v>
      </c>
      <c r="K64" s="39" t="n">
        <v>1</v>
      </c>
      <c r="L64" s="39" t="str">
        <f aca="false">IFERROR(INDEX('Design Ranking'!$B$12:$B$25,MATCH(E64,'Design Ranking'!$A$12:$A$25,0)),IF(D64="Copters","Copters","Other"))</f>
        <v>Minecraft</v>
      </c>
      <c r="M64" s="39" t="n">
        <f aca="false">MIN(F64,'Design Ranking'!$B$6)</f>
        <v>1</v>
      </c>
    </row>
    <row r="65" customFormat="false" ht="15" hidden="false" customHeight="false" outlineLevel="0" collapsed="false">
      <c r="A65" s="39" t="s">
        <v>338</v>
      </c>
      <c r="B65" s="40" t="n">
        <v>46312.4805902778</v>
      </c>
      <c r="C65" s="40" t="n">
        <v>46312.4811226852</v>
      </c>
      <c r="D65" s="39" t="s">
        <v>381</v>
      </c>
      <c r="E65" s="39" t="s">
        <v>151</v>
      </c>
      <c r="F65" s="39" t="n">
        <v>1</v>
      </c>
      <c r="G65" s="39" t="n">
        <v>3</v>
      </c>
      <c r="H65" s="39" t="n">
        <v>10</v>
      </c>
      <c r="I65" s="39" t="s">
        <v>251</v>
      </c>
      <c r="J65" s="39" t="s">
        <v>256</v>
      </c>
      <c r="K65" s="39"/>
      <c r="L65" s="39" t="str">
        <f aca="false">IFERROR(INDEX('Design Ranking'!$B$12:$B$25,MATCH(E65,'Design Ranking'!$A$12:$A$25,0)),IF(D65="Copters","Copters","Other"))</f>
        <v>Snacks &amp; treats</v>
      </c>
      <c r="M65" s="39" t="n">
        <f aca="false">MIN(F65,'Design Ranking'!$B$6)</f>
        <v>1</v>
      </c>
    </row>
    <row r="66" customFormat="false" ht="15" hidden="false" customHeight="false" outlineLevel="0" collapsed="false">
      <c r="A66" s="39" t="s">
        <v>338</v>
      </c>
      <c r="B66" s="40" t="n">
        <v>46312.4805902778</v>
      </c>
      <c r="C66" s="40" t="n">
        <v>46312.4811226852</v>
      </c>
      <c r="D66" s="39" t="s">
        <v>381</v>
      </c>
      <c r="E66" s="39" t="s">
        <v>150</v>
      </c>
      <c r="F66" s="39" t="n">
        <v>1</v>
      </c>
      <c r="G66" s="39" t="n">
        <v>3</v>
      </c>
      <c r="H66" s="39" t="n">
        <v>10</v>
      </c>
      <c r="I66" s="39" t="s">
        <v>251</v>
      </c>
      <c r="J66" s="39" t="s">
        <v>256</v>
      </c>
      <c r="K66" s="39"/>
      <c r="L66" s="39" t="str">
        <f aca="false">IFERROR(INDEX('Design Ranking'!$B$12:$B$25,MATCH(E66,'Design Ranking'!$A$12:$A$25,0)),IF(D66="Copters","Copters","Other"))</f>
        <v>Snacks &amp; treats</v>
      </c>
      <c r="M66" s="39" t="n">
        <f aca="false">MIN(F66,'Design Ranking'!$B$6)</f>
        <v>1</v>
      </c>
    </row>
    <row r="67" customFormat="false" ht="15" hidden="false" customHeight="false" outlineLevel="0" collapsed="false">
      <c r="A67" s="39" t="s">
        <v>339</v>
      </c>
      <c r="B67" s="40" t="n">
        <v>46312.4816666667</v>
      </c>
      <c r="C67" s="40" t="n">
        <v>46312.4818981482</v>
      </c>
      <c r="D67" s="39" t="s">
        <v>381</v>
      </c>
      <c r="E67" s="39" t="s">
        <v>153</v>
      </c>
      <c r="F67" s="39" t="n">
        <v>2</v>
      </c>
      <c r="G67" s="39" t="n">
        <v>7</v>
      </c>
      <c r="H67" s="39" t="n">
        <v>10</v>
      </c>
      <c r="I67" s="39" t="s">
        <v>251</v>
      </c>
      <c r="J67" s="39" t="s">
        <v>255</v>
      </c>
      <c r="K67" s="39" t="n">
        <v>1</v>
      </c>
      <c r="L67" s="39" t="str">
        <f aca="false">IFERROR(INDEX('Design Ranking'!$B$12:$B$25,MATCH(E67,'Design Ranking'!$A$12:$A$25,0)),IF(D67="Copters","Copters","Other"))</f>
        <v>Workshop</v>
      </c>
      <c r="M67" s="39" t="n">
        <f aca="false">MIN(F67,'Design Ranking'!$B$6)</f>
        <v>2</v>
      </c>
    </row>
    <row r="68" customFormat="false" ht="15" hidden="false" customHeight="false" outlineLevel="0" collapsed="false">
      <c r="A68" s="39" t="s">
        <v>339</v>
      </c>
      <c r="B68" s="40" t="n">
        <v>46312.4816666667</v>
      </c>
      <c r="C68" s="40" t="n">
        <v>46312.4818981482</v>
      </c>
      <c r="D68" s="39" t="s">
        <v>381</v>
      </c>
      <c r="E68" s="39" t="s">
        <v>148</v>
      </c>
      <c r="F68" s="39" t="n">
        <v>1</v>
      </c>
      <c r="G68" s="39" t="n">
        <v>3</v>
      </c>
      <c r="H68" s="39" t="n">
        <v>10</v>
      </c>
      <c r="I68" s="39" t="s">
        <v>251</v>
      </c>
      <c r="J68" s="39" t="s">
        <v>255</v>
      </c>
      <c r="K68" s="39"/>
      <c r="L68" s="39" t="str">
        <f aca="false">IFERROR(INDEX('Design Ranking'!$B$12:$B$25,MATCH(E68,'Design Ranking'!$A$12:$A$25,0)),IF(D68="Copters","Copters","Other"))</f>
        <v>Asian food</v>
      </c>
      <c r="M68" s="39" t="n">
        <f aca="false">MIN(F68,'Design Ranking'!$B$6)</f>
        <v>1</v>
      </c>
    </row>
    <row r="69" customFormat="false" ht="15" hidden="false" customHeight="false" outlineLevel="0" collapsed="false">
      <c r="A69" s="39" t="s">
        <v>340</v>
      </c>
      <c r="B69" s="40" t="n">
        <v>46312.4824652778</v>
      </c>
      <c r="C69" s="40" t="n">
        <v>46312.4832175926</v>
      </c>
      <c r="D69" s="39" t="s">
        <v>381</v>
      </c>
      <c r="E69" s="39" t="s">
        <v>148</v>
      </c>
      <c r="F69" s="39" t="n">
        <v>2</v>
      </c>
      <c r="G69" s="39" t="n">
        <v>7</v>
      </c>
      <c r="H69" s="39" t="n">
        <v>14</v>
      </c>
      <c r="I69" s="39" t="s">
        <v>251</v>
      </c>
      <c r="J69" s="39" t="s">
        <v>256</v>
      </c>
      <c r="K69" s="39" t="n">
        <v>1</v>
      </c>
      <c r="L69" s="39" t="str">
        <f aca="false">IFERROR(INDEX('Design Ranking'!$B$12:$B$25,MATCH(E69,'Design Ranking'!$A$12:$A$25,0)),IF(D69="Copters","Copters","Other"))</f>
        <v>Asian food</v>
      </c>
      <c r="M69" s="39" t="n">
        <f aca="false">MIN(F69,'Design Ranking'!$B$6)</f>
        <v>2</v>
      </c>
    </row>
    <row r="70" customFormat="false" ht="15" hidden="false" customHeight="false" outlineLevel="0" collapsed="false">
      <c r="A70" s="39" t="s">
        <v>340</v>
      </c>
      <c r="B70" s="40" t="n">
        <v>46312.4824652778</v>
      </c>
      <c r="C70" s="40" t="n">
        <v>46312.4832175926</v>
      </c>
      <c r="D70" s="39" t="s">
        <v>381</v>
      </c>
      <c r="E70" s="39" t="s">
        <v>137</v>
      </c>
      <c r="F70" s="39" t="n">
        <v>1</v>
      </c>
      <c r="G70" s="39" t="n">
        <v>3</v>
      </c>
      <c r="H70" s="39" t="n">
        <v>14</v>
      </c>
      <c r="I70" s="39" t="s">
        <v>251</v>
      </c>
      <c r="J70" s="39" t="s">
        <v>256</v>
      </c>
      <c r="K70" s="39"/>
      <c r="L70" s="39" t="str">
        <f aca="false">IFERROR(INDEX('Design Ranking'!$B$12:$B$25,MATCH(E70,'Design Ranking'!$A$12:$A$25,0)),IF(D70="Copters","Copters","Other"))</f>
        <v>Asian food</v>
      </c>
      <c r="M70" s="39" t="n">
        <f aca="false">MIN(F70,'Design Ranking'!$B$6)</f>
        <v>1</v>
      </c>
    </row>
    <row r="71" customFormat="false" ht="15" hidden="false" customHeight="false" outlineLevel="0" collapsed="false">
      <c r="A71" s="39" t="s">
        <v>340</v>
      </c>
      <c r="B71" s="40" t="n">
        <v>46312.4824652778</v>
      </c>
      <c r="C71" s="40" t="n">
        <v>46312.4832175926</v>
      </c>
      <c r="D71" s="39" t="s">
        <v>381</v>
      </c>
      <c r="E71" s="39" t="s">
        <v>145</v>
      </c>
      <c r="F71" s="39" t="n">
        <v>1</v>
      </c>
      <c r="G71" s="39" t="n">
        <v>4</v>
      </c>
      <c r="H71" s="39" t="n">
        <v>14</v>
      </c>
      <c r="I71" s="39" t="s">
        <v>251</v>
      </c>
      <c r="J71" s="39" t="s">
        <v>256</v>
      </c>
      <c r="K71" s="39"/>
      <c r="L71" s="39" t="str">
        <f aca="false">IFERROR(INDEX('Design Ranking'!$B$12:$B$25,MATCH(E71,'Design Ranking'!$A$12:$A$25,0)),IF(D71="Copters","Copters","Other"))</f>
        <v>Snacks &amp; treats</v>
      </c>
      <c r="M71" s="39" t="n">
        <f aca="false">MIN(F71,'Design Ranking'!$B$6)</f>
        <v>1</v>
      </c>
    </row>
    <row r="72" customFormat="false" ht="15" hidden="false" customHeight="false" outlineLevel="0" collapsed="false">
      <c r="A72" s="39" t="s">
        <v>341</v>
      </c>
      <c r="B72" s="40" t="n">
        <v>46312.4835532407</v>
      </c>
      <c r="C72" s="40" t="n">
        <v>46312.4847685185</v>
      </c>
      <c r="D72" s="39" t="s">
        <v>381</v>
      </c>
      <c r="E72" s="39" t="s">
        <v>153</v>
      </c>
      <c r="F72" s="39" t="n">
        <v>1</v>
      </c>
      <c r="G72" s="39" t="n">
        <v>4</v>
      </c>
      <c r="H72" s="39" t="n">
        <v>4</v>
      </c>
      <c r="I72" s="39" t="s">
        <v>253</v>
      </c>
      <c r="J72" s="39" t="s">
        <v>255</v>
      </c>
      <c r="K72" s="39" t="n">
        <v>0</v>
      </c>
      <c r="L72" s="39" t="str">
        <f aca="false">IFERROR(INDEX('Design Ranking'!$B$12:$B$25,MATCH(E72,'Design Ranking'!$A$12:$A$25,0)),IF(D72="Copters","Copters","Other"))</f>
        <v>Workshop</v>
      </c>
      <c r="M72" s="39" t="n">
        <f aca="false">MIN(F72,'Design Ranking'!$B$6)</f>
        <v>1</v>
      </c>
    </row>
    <row r="73" customFormat="false" ht="15" hidden="false" customHeight="false" outlineLevel="0" collapsed="false">
      <c r="A73" s="39" t="s">
        <v>342</v>
      </c>
      <c r="B73" s="40" t="n">
        <v>46312.4854050926</v>
      </c>
      <c r="C73" s="40" t="n">
        <v>46312.485462963</v>
      </c>
      <c r="D73" s="39" t="s">
        <v>381</v>
      </c>
      <c r="E73" s="39" t="s">
        <v>140</v>
      </c>
      <c r="F73" s="39" t="n">
        <v>1</v>
      </c>
      <c r="G73" s="39" t="n">
        <v>4</v>
      </c>
      <c r="H73" s="39" t="n">
        <v>4</v>
      </c>
      <c r="I73" s="39" t="s">
        <v>251</v>
      </c>
      <c r="J73" s="39"/>
      <c r="K73" s="39" t="n">
        <v>0</v>
      </c>
      <c r="L73" s="39" t="str">
        <f aca="false">IFERROR(INDEX('Design Ranking'!$B$12:$B$25,MATCH(E73,'Design Ranking'!$A$12:$A$25,0)),IF(D73="Copters","Copters","Other"))</f>
        <v>Asian food</v>
      </c>
      <c r="M73" s="39" t="n">
        <f aca="false">MIN(F73,'Design Ranking'!$B$6)</f>
        <v>1</v>
      </c>
    </row>
    <row r="74" customFormat="false" ht="15" hidden="false" customHeight="false" outlineLevel="0" collapsed="false">
      <c r="A74" s="39" t="s">
        <v>343</v>
      </c>
      <c r="B74" s="40" t="n">
        <v>46312.4918518519</v>
      </c>
      <c r="C74" s="40" t="n">
        <v>46312.4918865741</v>
      </c>
      <c r="D74" s="39" t="s">
        <v>381</v>
      </c>
      <c r="E74" s="39" t="s">
        <v>142</v>
      </c>
      <c r="F74" s="39" t="n">
        <v>1</v>
      </c>
      <c r="G74" s="39" t="n">
        <v>4</v>
      </c>
      <c r="H74" s="39" t="n">
        <v>4</v>
      </c>
      <c r="I74" s="39" t="s">
        <v>251</v>
      </c>
      <c r="J74" s="39" t="s">
        <v>255</v>
      </c>
      <c r="K74" s="39" t="n">
        <v>0</v>
      </c>
      <c r="L74" s="39" t="str">
        <f aca="false">IFERROR(INDEX('Design Ranking'!$B$12:$B$25,MATCH(E74,'Design Ranking'!$A$12:$A$25,0)),IF(D74="Copters","Copters","Other"))</f>
        <v>Minecraft</v>
      </c>
      <c r="M74" s="39" t="n">
        <f aca="false">MIN(F74,'Design Ranking'!$B$6)</f>
        <v>1</v>
      </c>
    </row>
    <row r="75" customFormat="false" ht="15" hidden="false" customHeight="false" outlineLevel="0" collapsed="false">
      <c r="A75" s="39" t="s">
        <v>344</v>
      </c>
      <c r="B75" s="40" t="n">
        <v>46312.4933796296</v>
      </c>
      <c r="C75" s="40" t="n">
        <v>46312.4934375</v>
      </c>
      <c r="D75" s="39" t="s">
        <v>381</v>
      </c>
      <c r="E75" s="39" t="s">
        <v>137</v>
      </c>
      <c r="F75" s="39" t="n">
        <v>2</v>
      </c>
      <c r="G75" s="39" t="n">
        <v>7</v>
      </c>
      <c r="H75" s="39" t="n">
        <v>7</v>
      </c>
      <c r="I75" s="39" t="s">
        <v>251</v>
      </c>
      <c r="J75" s="39" t="s">
        <v>256</v>
      </c>
      <c r="K75" s="39" t="n">
        <v>0</v>
      </c>
      <c r="L75" s="39" t="str">
        <f aca="false">IFERROR(INDEX('Design Ranking'!$B$12:$B$25,MATCH(E75,'Design Ranking'!$A$12:$A$25,0)),IF(D75="Copters","Copters","Other"))</f>
        <v>Asian food</v>
      </c>
      <c r="M75" s="39" t="n">
        <f aca="false">MIN(F75,'Design Ranking'!$B$6)</f>
        <v>2</v>
      </c>
    </row>
    <row r="76" customFormat="false" ht="15" hidden="false" customHeight="false" outlineLevel="0" collapsed="false">
      <c r="A76" s="39" t="s">
        <v>345</v>
      </c>
      <c r="B76" s="40" t="n">
        <v>46312.4938425926</v>
      </c>
      <c r="C76" s="40" t="n">
        <v>46312.4938888889</v>
      </c>
      <c r="D76" s="39" t="s">
        <v>381</v>
      </c>
      <c r="E76" s="39" t="s">
        <v>151</v>
      </c>
      <c r="F76" s="39" t="n">
        <v>1</v>
      </c>
      <c r="G76" s="39" t="n">
        <v>4</v>
      </c>
      <c r="H76" s="39" t="n">
        <v>4</v>
      </c>
      <c r="I76" s="39" t="s">
        <v>251</v>
      </c>
      <c r="J76" s="39" t="s">
        <v>255</v>
      </c>
      <c r="K76" s="39" t="n">
        <v>0</v>
      </c>
      <c r="L76" s="39" t="str">
        <f aca="false">IFERROR(INDEX('Design Ranking'!$B$12:$B$25,MATCH(E76,'Design Ranking'!$A$12:$A$25,0)),IF(D76="Copters","Copters","Other"))</f>
        <v>Snacks &amp; treats</v>
      </c>
      <c r="M76" s="39" t="n">
        <f aca="false">MIN(F76,'Design Ranking'!$B$6)</f>
        <v>1</v>
      </c>
    </row>
    <row r="77" customFormat="false" ht="15" hidden="false" customHeight="false" outlineLevel="0" collapsed="false">
      <c r="A77" s="39" t="s">
        <v>346</v>
      </c>
      <c r="B77" s="40" t="n">
        <v>46312.4947685185</v>
      </c>
      <c r="C77" s="40" t="n">
        <v>46312.494849537</v>
      </c>
      <c r="D77" s="39" t="s">
        <v>381</v>
      </c>
      <c r="E77" s="39" t="s">
        <v>151</v>
      </c>
      <c r="F77" s="39" t="n">
        <v>1</v>
      </c>
      <c r="G77" s="39" t="n">
        <v>4</v>
      </c>
      <c r="H77" s="39" t="n">
        <v>10</v>
      </c>
      <c r="I77" s="39" t="s">
        <v>251</v>
      </c>
      <c r="J77" s="39" t="s">
        <v>255</v>
      </c>
      <c r="K77" s="39" t="n">
        <v>1</v>
      </c>
      <c r="L77" s="39" t="str">
        <f aca="false">IFERROR(INDEX('Design Ranking'!$B$12:$B$25,MATCH(E77,'Design Ranking'!$A$12:$A$25,0)),IF(D77="Copters","Copters","Other"))</f>
        <v>Snacks &amp; treats</v>
      </c>
      <c r="M77" s="39" t="n">
        <f aca="false">MIN(F77,'Design Ranking'!$B$6)</f>
        <v>1</v>
      </c>
    </row>
    <row r="78" customFormat="false" ht="15" hidden="false" customHeight="false" outlineLevel="0" collapsed="false">
      <c r="A78" s="39" t="s">
        <v>346</v>
      </c>
      <c r="B78" s="40" t="n">
        <v>46312.4947685185</v>
      </c>
      <c r="C78" s="40" t="n">
        <v>46312.494849537</v>
      </c>
      <c r="D78" s="39" t="s">
        <v>381</v>
      </c>
      <c r="E78" s="39" t="s">
        <v>137</v>
      </c>
      <c r="F78" s="39" t="n">
        <v>1</v>
      </c>
      <c r="G78" s="39" t="n">
        <v>3</v>
      </c>
      <c r="H78" s="39" t="n">
        <v>10</v>
      </c>
      <c r="I78" s="39" t="s">
        <v>251</v>
      </c>
      <c r="J78" s="39" t="s">
        <v>255</v>
      </c>
      <c r="K78" s="39"/>
      <c r="L78" s="39" t="str">
        <f aca="false">IFERROR(INDEX('Design Ranking'!$B$12:$B$25,MATCH(E78,'Design Ranking'!$A$12:$A$25,0)),IF(D78="Copters","Copters","Other"))</f>
        <v>Asian food</v>
      </c>
      <c r="M78" s="39" t="n">
        <f aca="false">MIN(F78,'Design Ranking'!$B$6)</f>
        <v>1</v>
      </c>
    </row>
    <row r="79" customFormat="false" ht="15" hidden="false" customHeight="false" outlineLevel="0" collapsed="false">
      <c r="A79" s="39" t="s">
        <v>346</v>
      </c>
      <c r="B79" s="40" t="n">
        <v>46312.4947685185</v>
      </c>
      <c r="C79" s="40" t="n">
        <v>46312.494849537</v>
      </c>
      <c r="D79" s="39" t="s">
        <v>381</v>
      </c>
      <c r="E79" s="39" t="s">
        <v>145</v>
      </c>
      <c r="F79" s="39" t="n">
        <v>1</v>
      </c>
      <c r="G79" s="39" t="n">
        <v>3</v>
      </c>
      <c r="H79" s="39" t="n">
        <v>10</v>
      </c>
      <c r="I79" s="39" t="s">
        <v>251</v>
      </c>
      <c r="J79" s="39" t="s">
        <v>255</v>
      </c>
      <c r="K79" s="39"/>
      <c r="L79" s="39" t="str">
        <f aca="false">IFERROR(INDEX('Design Ranking'!$B$12:$B$25,MATCH(E79,'Design Ranking'!$A$12:$A$25,0)),IF(D79="Copters","Copters","Other"))</f>
        <v>Snacks &amp; treats</v>
      </c>
      <c r="M79" s="39" t="n">
        <f aca="false">MIN(F79,'Design Ranking'!$B$6)</f>
        <v>1</v>
      </c>
    </row>
    <row r="80" customFormat="false" ht="15" hidden="false" customHeight="false" outlineLevel="0" collapsed="false">
      <c r="A80" s="39" t="s">
        <v>347</v>
      </c>
      <c r="B80" s="40" t="n">
        <v>46312.4959143519</v>
      </c>
      <c r="C80" s="40" t="n">
        <v>46312.4959837963</v>
      </c>
      <c r="D80" s="39" t="s">
        <v>381</v>
      </c>
      <c r="E80" s="39" t="s">
        <v>148</v>
      </c>
      <c r="F80" s="39" t="n">
        <v>1</v>
      </c>
      <c r="G80" s="39" t="n">
        <v>4</v>
      </c>
      <c r="H80" s="39" t="n">
        <v>7</v>
      </c>
      <c r="I80" s="39"/>
      <c r="J80" s="39" t="s">
        <v>256</v>
      </c>
      <c r="K80" s="39" t="n">
        <v>0</v>
      </c>
      <c r="L80" s="39" t="str">
        <f aca="false">IFERROR(INDEX('Design Ranking'!$B$12:$B$25,MATCH(E80,'Design Ranking'!$A$12:$A$25,0)),IF(D80="Copters","Copters","Other"))</f>
        <v>Asian food</v>
      </c>
      <c r="M80" s="39" t="n">
        <f aca="false">MIN(F80,'Design Ranking'!$B$6)</f>
        <v>1</v>
      </c>
    </row>
    <row r="81" customFormat="false" ht="15" hidden="false" customHeight="false" outlineLevel="0" collapsed="false">
      <c r="A81" s="39" t="s">
        <v>347</v>
      </c>
      <c r="B81" s="40" t="n">
        <v>46312.4959143519</v>
      </c>
      <c r="C81" s="40" t="n">
        <v>46312.4959837963</v>
      </c>
      <c r="D81" s="39" t="s">
        <v>381</v>
      </c>
      <c r="E81" s="39" t="s">
        <v>145</v>
      </c>
      <c r="F81" s="39" t="n">
        <v>1</v>
      </c>
      <c r="G81" s="39" t="n">
        <v>3</v>
      </c>
      <c r="H81" s="39" t="n">
        <v>7</v>
      </c>
      <c r="I81" s="39"/>
      <c r="J81" s="39" t="s">
        <v>256</v>
      </c>
      <c r="K81" s="39"/>
      <c r="L81" s="39" t="str">
        <f aca="false">IFERROR(INDEX('Design Ranking'!$B$12:$B$25,MATCH(E81,'Design Ranking'!$A$12:$A$25,0)),IF(D81="Copters","Copters","Other"))</f>
        <v>Snacks &amp; treats</v>
      </c>
      <c r="M81" s="39" t="n">
        <f aca="false">MIN(F81,'Design Ranking'!$B$6)</f>
        <v>1</v>
      </c>
    </row>
    <row r="82" customFormat="false" ht="15" hidden="false" customHeight="false" outlineLevel="0" collapsed="false">
      <c r="A82" s="39" t="s">
        <v>348</v>
      </c>
      <c r="B82" s="40" t="n">
        <v>46312.4978703704</v>
      </c>
      <c r="C82" s="40" t="n">
        <v>46312.4984722222</v>
      </c>
      <c r="D82" s="39" t="s">
        <v>381</v>
      </c>
      <c r="E82" s="39" t="s">
        <v>156</v>
      </c>
      <c r="F82" s="39" t="n">
        <v>1</v>
      </c>
      <c r="G82" s="39" t="n">
        <v>4</v>
      </c>
      <c r="H82" s="39" t="n">
        <v>10</v>
      </c>
      <c r="I82" s="39"/>
      <c r="J82" s="39"/>
      <c r="K82" s="39" t="n">
        <v>1</v>
      </c>
      <c r="L82" s="39" t="str">
        <f aca="false">IFERROR(INDEX('Design Ranking'!$B$12:$B$25,MATCH(E82,'Design Ranking'!$A$12:$A$25,0)),IF(D82="Copters","Copters","Other"))</f>
        <v>Asian food</v>
      </c>
      <c r="M82" s="39" t="n">
        <f aca="false">MIN(F82,'Design Ranking'!$B$6)</f>
        <v>1</v>
      </c>
    </row>
    <row r="83" customFormat="false" ht="15" hidden="false" customHeight="false" outlineLevel="0" collapsed="false">
      <c r="A83" s="39" t="s">
        <v>348</v>
      </c>
      <c r="B83" s="40" t="n">
        <v>46312.4978703704</v>
      </c>
      <c r="C83" s="40" t="n">
        <v>46312.4984722222</v>
      </c>
      <c r="D83" s="39" t="s">
        <v>381</v>
      </c>
      <c r="E83" s="39" t="s">
        <v>145</v>
      </c>
      <c r="F83" s="39" t="n">
        <v>1</v>
      </c>
      <c r="G83" s="39" t="n">
        <v>3</v>
      </c>
      <c r="H83" s="39" t="n">
        <v>10</v>
      </c>
      <c r="I83" s="39"/>
      <c r="J83" s="39"/>
      <c r="K83" s="39"/>
      <c r="L83" s="39" t="str">
        <f aca="false">IFERROR(INDEX('Design Ranking'!$B$12:$B$25,MATCH(E83,'Design Ranking'!$A$12:$A$25,0)),IF(D83="Copters","Copters","Other"))</f>
        <v>Snacks &amp; treats</v>
      </c>
      <c r="M83" s="39" t="n">
        <f aca="false">MIN(F83,'Design Ranking'!$B$6)</f>
        <v>1</v>
      </c>
    </row>
    <row r="84" customFormat="false" ht="15" hidden="false" customHeight="false" outlineLevel="0" collapsed="false">
      <c r="A84" s="39" t="s">
        <v>348</v>
      </c>
      <c r="B84" s="40" t="n">
        <v>46312.4978703704</v>
      </c>
      <c r="C84" s="40" t="n">
        <v>46312.4984722222</v>
      </c>
      <c r="D84" s="39" t="s">
        <v>381</v>
      </c>
      <c r="E84" s="39" t="s">
        <v>151</v>
      </c>
      <c r="F84" s="39" t="n">
        <v>1</v>
      </c>
      <c r="G84" s="39" t="n">
        <v>3</v>
      </c>
      <c r="H84" s="39" t="n">
        <v>10</v>
      </c>
      <c r="I84" s="39"/>
      <c r="J84" s="39"/>
      <c r="K84" s="39"/>
      <c r="L84" s="39" t="str">
        <f aca="false">IFERROR(INDEX('Design Ranking'!$B$12:$B$25,MATCH(E84,'Design Ranking'!$A$12:$A$25,0)),IF(D84="Copters","Copters","Other"))</f>
        <v>Snacks &amp; treats</v>
      </c>
      <c r="M84" s="39" t="n">
        <f aca="false">MIN(F84,'Design Ranking'!$B$6)</f>
        <v>1</v>
      </c>
    </row>
    <row r="85" customFormat="false" ht="15" hidden="false" customHeight="false" outlineLevel="0" collapsed="false">
      <c r="A85" s="39" t="s">
        <v>349</v>
      </c>
      <c r="B85" s="40" t="n">
        <v>46312.4991898148</v>
      </c>
      <c r="C85" s="40" t="n">
        <v>46312.4993981482</v>
      </c>
      <c r="D85" s="39" t="s">
        <v>381</v>
      </c>
      <c r="E85" s="39" t="s">
        <v>148</v>
      </c>
      <c r="F85" s="39" t="n">
        <v>1</v>
      </c>
      <c r="G85" s="39" t="n">
        <v>4</v>
      </c>
      <c r="H85" s="39" t="n">
        <v>4</v>
      </c>
      <c r="I85" s="39" t="s">
        <v>251</v>
      </c>
      <c r="J85" s="39" t="s">
        <v>256</v>
      </c>
      <c r="K85" s="39" t="n">
        <v>0</v>
      </c>
      <c r="L85" s="39" t="str">
        <f aca="false">IFERROR(INDEX('Design Ranking'!$B$12:$B$25,MATCH(E85,'Design Ranking'!$A$12:$A$25,0)),IF(D85="Copters","Copters","Other"))</f>
        <v>Asian food</v>
      </c>
      <c r="M85" s="39" t="n">
        <f aca="false">MIN(F85,'Design Ranking'!$B$6)</f>
        <v>1</v>
      </c>
    </row>
    <row r="86" customFormat="false" ht="15" hidden="false" customHeight="false" outlineLevel="0" collapsed="false">
      <c r="A86" s="39" t="s">
        <v>350</v>
      </c>
      <c r="B86" s="40" t="n">
        <v>46312.5012152778</v>
      </c>
      <c r="C86" s="40" t="n">
        <v>46312.50125</v>
      </c>
      <c r="D86" s="39" t="s">
        <v>381</v>
      </c>
      <c r="E86" s="39" t="s">
        <v>151</v>
      </c>
      <c r="F86" s="39" t="n">
        <v>1</v>
      </c>
      <c r="G86" s="39" t="n">
        <v>4</v>
      </c>
      <c r="H86" s="39" t="n">
        <v>7</v>
      </c>
      <c r="I86" s="39" t="s">
        <v>251</v>
      </c>
      <c r="J86" s="39" t="s">
        <v>255</v>
      </c>
      <c r="K86" s="39" t="n">
        <v>0</v>
      </c>
      <c r="L86" s="39" t="str">
        <f aca="false">IFERROR(INDEX('Design Ranking'!$B$12:$B$25,MATCH(E86,'Design Ranking'!$A$12:$A$25,0)),IF(D86="Copters","Copters","Other"))</f>
        <v>Snacks &amp; treats</v>
      </c>
      <c r="M86" s="39" t="n">
        <f aca="false">MIN(F86,'Design Ranking'!$B$6)</f>
        <v>1</v>
      </c>
    </row>
    <row r="87" customFormat="false" ht="15" hidden="false" customHeight="false" outlineLevel="0" collapsed="false">
      <c r="A87" s="39" t="s">
        <v>350</v>
      </c>
      <c r="B87" s="40" t="n">
        <v>46312.5012152778</v>
      </c>
      <c r="C87" s="40" t="n">
        <v>46312.50125</v>
      </c>
      <c r="D87" s="39" t="s">
        <v>381</v>
      </c>
      <c r="E87" s="39" t="s">
        <v>153</v>
      </c>
      <c r="F87" s="39" t="n">
        <v>1</v>
      </c>
      <c r="G87" s="39" t="n">
        <v>3</v>
      </c>
      <c r="H87" s="39" t="n">
        <v>7</v>
      </c>
      <c r="I87" s="39" t="s">
        <v>251</v>
      </c>
      <c r="J87" s="39" t="s">
        <v>255</v>
      </c>
      <c r="K87" s="39"/>
      <c r="L87" s="39" t="str">
        <f aca="false">IFERROR(INDEX('Design Ranking'!$B$12:$B$25,MATCH(E87,'Design Ranking'!$A$12:$A$25,0)),IF(D87="Copters","Copters","Other"))</f>
        <v>Workshop</v>
      </c>
      <c r="M87" s="39" t="n">
        <f aca="false">MIN(F87,'Design Ranking'!$B$6)</f>
        <v>1</v>
      </c>
    </row>
    <row r="88" customFormat="false" ht="15" hidden="false" customHeight="false" outlineLevel="0" collapsed="false">
      <c r="A88" s="39" t="s">
        <v>351</v>
      </c>
      <c r="B88" s="40" t="n">
        <v>46312.5036458333</v>
      </c>
      <c r="C88" s="40" t="n">
        <v>46312.5045717593</v>
      </c>
      <c r="D88" s="39" t="s">
        <v>381</v>
      </c>
      <c r="E88" s="39" t="s">
        <v>145</v>
      </c>
      <c r="F88" s="39" t="n">
        <v>1</v>
      </c>
      <c r="G88" s="39" t="n">
        <v>4</v>
      </c>
      <c r="H88" s="39" t="n">
        <v>10</v>
      </c>
      <c r="I88" s="39"/>
      <c r="J88" s="39"/>
      <c r="K88" s="39" t="n">
        <v>1</v>
      </c>
      <c r="L88" s="39" t="str">
        <f aca="false">IFERROR(INDEX('Design Ranking'!$B$12:$B$25,MATCH(E88,'Design Ranking'!$A$12:$A$25,0)),IF(D88="Copters","Copters","Other"))</f>
        <v>Snacks &amp; treats</v>
      </c>
      <c r="M88" s="39" t="n">
        <f aca="false">MIN(F88,'Design Ranking'!$B$6)</f>
        <v>1</v>
      </c>
    </row>
    <row r="89" customFormat="false" ht="15" hidden="false" customHeight="false" outlineLevel="0" collapsed="false">
      <c r="A89" s="39" t="s">
        <v>351</v>
      </c>
      <c r="B89" s="40" t="n">
        <v>46312.5036458333</v>
      </c>
      <c r="C89" s="40" t="n">
        <v>46312.5045717593</v>
      </c>
      <c r="D89" s="39" t="s">
        <v>381</v>
      </c>
      <c r="E89" s="39" t="s">
        <v>137</v>
      </c>
      <c r="F89" s="39" t="n">
        <v>1</v>
      </c>
      <c r="G89" s="39" t="n">
        <v>3</v>
      </c>
      <c r="H89" s="39" t="n">
        <v>10</v>
      </c>
      <c r="I89" s="39"/>
      <c r="J89" s="39"/>
      <c r="K89" s="39"/>
      <c r="L89" s="39" t="str">
        <f aca="false">IFERROR(INDEX('Design Ranking'!$B$12:$B$25,MATCH(E89,'Design Ranking'!$A$12:$A$25,0)),IF(D89="Copters","Copters","Other"))</f>
        <v>Asian food</v>
      </c>
      <c r="M89" s="39" t="n">
        <f aca="false">MIN(F89,'Design Ranking'!$B$6)</f>
        <v>1</v>
      </c>
    </row>
    <row r="90" customFormat="false" ht="15" hidden="false" customHeight="false" outlineLevel="0" collapsed="false">
      <c r="A90" s="39" t="s">
        <v>351</v>
      </c>
      <c r="B90" s="40" t="n">
        <v>46312.5036458333</v>
      </c>
      <c r="C90" s="40" t="n">
        <v>46312.5045717593</v>
      </c>
      <c r="D90" s="39" t="s">
        <v>381</v>
      </c>
      <c r="E90" s="39" t="s">
        <v>148</v>
      </c>
      <c r="F90" s="39" t="n">
        <v>1</v>
      </c>
      <c r="G90" s="39" t="n">
        <v>3</v>
      </c>
      <c r="H90" s="39" t="n">
        <v>10</v>
      </c>
      <c r="I90" s="39"/>
      <c r="J90" s="39"/>
      <c r="K90" s="39"/>
      <c r="L90" s="39" t="str">
        <f aca="false">IFERROR(INDEX('Design Ranking'!$B$12:$B$25,MATCH(E90,'Design Ranking'!$A$12:$A$25,0)),IF(D90="Copters","Copters","Other"))</f>
        <v>Asian food</v>
      </c>
      <c r="M90" s="39" t="n">
        <f aca="false">MIN(F90,'Design Ranking'!$B$6)</f>
        <v>1</v>
      </c>
    </row>
    <row r="91" customFormat="false" ht="15" hidden="false" customHeight="false" outlineLevel="0" collapsed="false">
      <c r="A91" s="39" t="s">
        <v>352</v>
      </c>
      <c r="B91" s="40" t="n">
        <v>46312.5097106482</v>
      </c>
      <c r="C91" s="40" t="n">
        <v>46312.5102662037</v>
      </c>
      <c r="D91" s="39" t="s">
        <v>381</v>
      </c>
      <c r="E91" s="39" t="s">
        <v>140</v>
      </c>
      <c r="F91" s="39" t="n">
        <v>1</v>
      </c>
      <c r="G91" s="39" t="n">
        <v>4</v>
      </c>
      <c r="H91" s="39" t="n">
        <v>7</v>
      </c>
      <c r="I91" s="39" t="s">
        <v>252</v>
      </c>
      <c r="J91" s="39" t="s">
        <v>256</v>
      </c>
      <c r="K91" s="39" t="n">
        <v>0</v>
      </c>
      <c r="L91" s="39" t="str">
        <f aca="false">IFERROR(INDEX('Design Ranking'!$B$12:$B$25,MATCH(E91,'Design Ranking'!$A$12:$A$25,0)),IF(D91="Copters","Copters","Other"))</f>
        <v>Asian food</v>
      </c>
      <c r="M91" s="39" t="n">
        <f aca="false">MIN(F91,'Design Ranking'!$B$6)</f>
        <v>1</v>
      </c>
    </row>
    <row r="92" customFormat="false" ht="15" hidden="false" customHeight="false" outlineLevel="0" collapsed="false">
      <c r="A92" s="39" t="s">
        <v>352</v>
      </c>
      <c r="B92" s="40" t="n">
        <v>46312.5097106482</v>
      </c>
      <c r="C92" s="40" t="n">
        <v>46312.5102662037</v>
      </c>
      <c r="D92" s="39" t="s">
        <v>381</v>
      </c>
      <c r="E92" s="39" t="s">
        <v>137</v>
      </c>
      <c r="F92" s="39" t="n">
        <v>1</v>
      </c>
      <c r="G92" s="39" t="n">
        <v>3</v>
      </c>
      <c r="H92" s="39" t="n">
        <v>7</v>
      </c>
      <c r="I92" s="39" t="s">
        <v>252</v>
      </c>
      <c r="J92" s="39" t="s">
        <v>256</v>
      </c>
      <c r="K92" s="39"/>
      <c r="L92" s="39" t="str">
        <f aca="false">IFERROR(INDEX('Design Ranking'!$B$12:$B$25,MATCH(E92,'Design Ranking'!$A$12:$A$25,0)),IF(D92="Copters","Copters","Other"))</f>
        <v>Asian food</v>
      </c>
      <c r="M92" s="39" t="n">
        <f aca="false">MIN(F92,'Design Ranking'!$B$6)</f>
        <v>1</v>
      </c>
    </row>
    <row r="93" customFormat="false" ht="15" hidden="false" customHeight="false" outlineLevel="0" collapsed="false">
      <c r="A93" s="39" t="s">
        <v>353</v>
      </c>
      <c r="B93" s="40" t="n">
        <v>46312.5115509259</v>
      </c>
      <c r="C93" s="40" t="n">
        <v>46312.5115972222</v>
      </c>
      <c r="D93" s="39" t="s">
        <v>65</v>
      </c>
      <c r="E93" s="39" t="s">
        <v>246</v>
      </c>
      <c r="F93" s="39" t="n">
        <v>1</v>
      </c>
      <c r="G93" s="39" t="n">
        <v>5</v>
      </c>
      <c r="H93" s="39" t="n">
        <v>5</v>
      </c>
      <c r="I93" s="39"/>
      <c r="J93" s="39"/>
      <c r="K93" s="39" t="n">
        <v>0</v>
      </c>
      <c r="L93" s="39" t="str">
        <f aca="false">IFERROR(INDEX('Design Ranking'!$B$12:$B$25,MATCH(E93,'Design Ranking'!$A$12:$A$25,0)),IF(D93="Copters","Copters","Other"))</f>
        <v>Copters</v>
      </c>
      <c r="M93" s="39" t="n">
        <f aca="false">MIN(F93,'Design Ranking'!$B$6)</f>
        <v>1</v>
      </c>
    </row>
    <row r="94" customFormat="false" ht="15" hidden="false" customHeight="false" outlineLevel="0" collapsed="false">
      <c r="A94" s="39" t="s">
        <v>354</v>
      </c>
      <c r="B94" s="40" t="n">
        <v>46312.5138078704</v>
      </c>
      <c r="C94" s="40" t="n">
        <v>46312.5138194444</v>
      </c>
      <c r="D94" s="39" t="s">
        <v>381</v>
      </c>
      <c r="E94" s="39" t="s">
        <v>151</v>
      </c>
      <c r="F94" s="39" t="n">
        <v>1</v>
      </c>
      <c r="G94" s="39" t="n">
        <v>4</v>
      </c>
      <c r="H94" s="39" t="n">
        <v>4</v>
      </c>
      <c r="I94" s="39"/>
      <c r="J94" s="39"/>
      <c r="K94" s="39" t="n">
        <v>0</v>
      </c>
      <c r="L94" s="39" t="str">
        <f aca="false">IFERROR(INDEX('Design Ranking'!$B$12:$B$25,MATCH(E94,'Design Ranking'!$A$12:$A$25,0)),IF(D94="Copters","Copters","Other"))</f>
        <v>Snacks &amp; treats</v>
      </c>
      <c r="M94" s="39" t="n">
        <f aca="false">MIN(F94,'Design Ranking'!$B$6)</f>
        <v>1</v>
      </c>
    </row>
    <row r="95" customFormat="false" ht="15" hidden="false" customHeight="false" outlineLevel="0" collapsed="false">
      <c r="A95" s="39" t="s">
        <v>355</v>
      </c>
      <c r="B95" s="40" t="n">
        <v>46312.5155208333</v>
      </c>
      <c r="C95" s="40" t="n">
        <v>46312.515787037</v>
      </c>
      <c r="D95" s="39" t="s">
        <v>381</v>
      </c>
      <c r="E95" s="39" t="s">
        <v>151</v>
      </c>
      <c r="F95" s="39" t="n">
        <v>1</v>
      </c>
      <c r="G95" s="39" t="n">
        <v>4</v>
      </c>
      <c r="H95" s="39" t="n">
        <v>4</v>
      </c>
      <c r="I95" s="39"/>
      <c r="J95" s="39"/>
      <c r="K95" s="39" t="n">
        <v>0</v>
      </c>
      <c r="L95" s="39" t="str">
        <f aca="false">IFERROR(INDEX('Design Ranking'!$B$12:$B$25,MATCH(E95,'Design Ranking'!$A$12:$A$25,0)),IF(D95="Copters","Copters","Other"))</f>
        <v>Snacks &amp; treats</v>
      </c>
      <c r="M95" s="39" t="n">
        <f aca="false">MIN(F95,'Design Ranking'!$B$6)</f>
        <v>1</v>
      </c>
    </row>
    <row r="96" customFormat="false" ht="15" hidden="false" customHeight="false" outlineLevel="0" collapsed="false">
      <c r="A96" s="39" t="s">
        <v>356</v>
      </c>
      <c r="B96" s="40" t="n">
        <v>46312.52125</v>
      </c>
      <c r="C96" s="40" t="n">
        <v>46312.5212847222</v>
      </c>
      <c r="D96" s="39" t="s">
        <v>65</v>
      </c>
      <c r="E96" s="39" t="s">
        <v>246</v>
      </c>
      <c r="F96" s="39" t="n">
        <v>1</v>
      </c>
      <c r="G96" s="39" t="n">
        <v>5</v>
      </c>
      <c r="H96" s="39" t="n">
        <v>5</v>
      </c>
      <c r="I96" s="39" t="s">
        <v>251</v>
      </c>
      <c r="J96" s="39" t="s">
        <v>255</v>
      </c>
      <c r="K96" s="39" t="n">
        <v>0</v>
      </c>
      <c r="L96" s="39" t="str">
        <f aca="false">IFERROR(INDEX('Design Ranking'!$B$12:$B$25,MATCH(E96,'Design Ranking'!$A$12:$A$25,0)),IF(D96="Copters","Copters","Other"))</f>
        <v>Copters</v>
      </c>
      <c r="M96" s="39" t="n">
        <f aca="false">MIN(F96,'Design Ranking'!$B$6)</f>
        <v>1</v>
      </c>
    </row>
    <row r="97" customFormat="false" ht="15" hidden="false" customHeight="false" outlineLevel="0" collapsed="false">
      <c r="A97" s="39" t="s">
        <v>357</v>
      </c>
      <c r="B97" s="40" t="n">
        <v>46312.5234259259</v>
      </c>
      <c r="C97" s="40" t="n">
        <v>46312.5237037037</v>
      </c>
      <c r="D97" s="39" t="s">
        <v>381</v>
      </c>
      <c r="E97" s="39" t="s">
        <v>137</v>
      </c>
      <c r="F97" s="39" t="n">
        <v>1</v>
      </c>
      <c r="G97" s="39" t="n">
        <v>4</v>
      </c>
      <c r="H97" s="39" t="n">
        <v>7</v>
      </c>
      <c r="I97" s="39"/>
      <c r="J97" s="39" t="s">
        <v>255</v>
      </c>
      <c r="K97" s="39" t="n">
        <v>0</v>
      </c>
      <c r="L97" s="39" t="str">
        <f aca="false">IFERROR(INDEX('Design Ranking'!$B$12:$B$25,MATCH(E97,'Design Ranking'!$A$12:$A$25,0)),IF(D97="Copters","Copters","Other"))</f>
        <v>Asian food</v>
      </c>
      <c r="M97" s="39" t="n">
        <f aca="false">MIN(F97,'Design Ranking'!$B$6)</f>
        <v>1</v>
      </c>
    </row>
    <row r="98" customFormat="false" ht="15" hidden="false" customHeight="false" outlineLevel="0" collapsed="false">
      <c r="A98" s="39" t="s">
        <v>357</v>
      </c>
      <c r="B98" s="40" t="n">
        <v>46312.5234259259</v>
      </c>
      <c r="C98" s="40" t="n">
        <v>46312.5237037037</v>
      </c>
      <c r="D98" s="39" t="s">
        <v>381</v>
      </c>
      <c r="E98" s="39" t="s">
        <v>153</v>
      </c>
      <c r="F98" s="39" t="n">
        <v>1</v>
      </c>
      <c r="G98" s="39" t="n">
        <v>3</v>
      </c>
      <c r="H98" s="39" t="n">
        <v>7</v>
      </c>
      <c r="I98" s="39"/>
      <c r="J98" s="39" t="s">
        <v>255</v>
      </c>
      <c r="K98" s="39"/>
      <c r="L98" s="39" t="str">
        <f aca="false">IFERROR(INDEX('Design Ranking'!$B$12:$B$25,MATCH(E98,'Design Ranking'!$A$12:$A$25,0)),IF(D98="Copters","Copters","Other"))</f>
        <v>Workshop</v>
      </c>
      <c r="M98" s="39" t="n">
        <f aca="false">MIN(F98,'Design Ranking'!$B$6)</f>
        <v>1</v>
      </c>
    </row>
    <row r="99" customFormat="false" ht="15" hidden="false" customHeight="false" outlineLevel="0" collapsed="false">
      <c r="A99" s="39" t="s">
        <v>358</v>
      </c>
      <c r="B99" s="40" t="n">
        <v>46312.5238078704</v>
      </c>
      <c r="C99" s="40" t="n">
        <v>46312.5246643519</v>
      </c>
      <c r="D99" s="39" t="s">
        <v>381</v>
      </c>
      <c r="E99" s="39" t="s">
        <v>156</v>
      </c>
      <c r="F99" s="39" t="n">
        <v>1</v>
      </c>
      <c r="G99" s="39" t="n">
        <v>4</v>
      </c>
      <c r="H99" s="39" t="n">
        <v>10</v>
      </c>
      <c r="I99" s="39"/>
      <c r="J99" s="39"/>
      <c r="K99" s="39" t="n">
        <v>1</v>
      </c>
      <c r="L99" s="39" t="str">
        <f aca="false">IFERROR(INDEX('Design Ranking'!$B$12:$B$25,MATCH(E99,'Design Ranking'!$A$12:$A$25,0)),IF(D99="Copters","Copters","Other"))</f>
        <v>Asian food</v>
      </c>
      <c r="M99" s="39" t="n">
        <f aca="false">MIN(F99,'Design Ranking'!$B$6)</f>
        <v>1</v>
      </c>
    </row>
    <row r="100" customFormat="false" ht="15" hidden="false" customHeight="false" outlineLevel="0" collapsed="false">
      <c r="A100" s="39" t="s">
        <v>358</v>
      </c>
      <c r="B100" s="40" t="n">
        <v>46312.5238078704</v>
      </c>
      <c r="C100" s="40" t="n">
        <v>46312.5246643519</v>
      </c>
      <c r="D100" s="39" t="s">
        <v>381</v>
      </c>
      <c r="E100" s="39" t="s">
        <v>148</v>
      </c>
      <c r="F100" s="39" t="n">
        <v>1</v>
      </c>
      <c r="G100" s="39" t="n">
        <v>3</v>
      </c>
      <c r="H100" s="39" t="n">
        <v>10</v>
      </c>
      <c r="I100" s="39"/>
      <c r="J100" s="39"/>
      <c r="K100" s="39"/>
      <c r="L100" s="39" t="str">
        <f aca="false">IFERROR(INDEX('Design Ranking'!$B$12:$B$25,MATCH(E100,'Design Ranking'!$A$12:$A$25,0)),IF(D100="Copters","Copters","Other"))</f>
        <v>Asian food</v>
      </c>
      <c r="M100" s="39" t="n">
        <f aca="false">MIN(F100,'Design Ranking'!$B$6)</f>
        <v>1</v>
      </c>
    </row>
    <row r="101" customFormat="false" ht="15" hidden="false" customHeight="false" outlineLevel="0" collapsed="false">
      <c r="A101" s="39" t="s">
        <v>358</v>
      </c>
      <c r="B101" s="40" t="n">
        <v>46312.5238078704</v>
      </c>
      <c r="C101" s="40" t="n">
        <v>46312.5246643519</v>
      </c>
      <c r="D101" s="39" t="s">
        <v>381</v>
      </c>
      <c r="E101" s="39" t="s">
        <v>137</v>
      </c>
      <c r="F101" s="39" t="n">
        <v>1</v>
      </c>
      <c r="G101" s="39" t="n">
        <v>3</v>
      </c>
      <c r="H101" s="39" t="n">
        <v>10</v>
      </c>
      <c r="I101" s="39"/>
      <c r="J101" s="39"/>
      <c r="K101" s="39"/>
      <c r="L101" s="39" t="str">
        <f aca="false">IFERROR(INDEX('Design Ranking'!$B$12:$B$25,MATCH(E101,'Design Ranking'!$A$12:$A$25,0)),IF(D101="Copters","Copters","Other"))</f>
        <v>Asian food</v>
      </c>
      <c r="M101" s="39" t="n">
        <f aca="false">MIN(F101,'Design Ranking'!$B$6)</f>
        <v>1</v>
      </c>
    </row>
    <row r="102" customFormat="false" ht="15" hidden="false" customHeight="false" outlineLevel="0" collapsed="false">
      <c r="A102" s="39" t="s">
        <v>359</v>
      </c>
      <c r="B102" s="40" t="n">
        <v>46312.528275463</v>
      </c>
      <c r="C102" s="40" t="n">
        <v>46312.5283101852</v>
      </c>
      <c r="D102" s="39" t="s">
        <v>65</v>
      </c>
      <c r="E102" s="39" t="s">
        <v>247</v>
      </c>
      <c r="F102" s="39" t="n">
        <v>1</v>
      </c>
      <c r="G102" s="39" t="n">
        <v>6</v>
      </c>
      <c r="H102" s="39" t="n">
        <v>6</v>
      </c>
      <c r="I102" s="39" t="s">
        <v>251</v>
      </c>
      <c r="J102" s="39" t="s">
        <v>255</v>
      </c>
      <c r="K102" s="39" t="n">
        <v>0</v>
      </c>
      <c r="L102" s="39" t="str">
        <f aca="false">IFERROR(INDEX('Design Ranking'!$B$12:$B$25,MATCH(E102,'Design Ranking'!$A$12:$A$25,0)),IF(D102="Copters","Copters","Other"))</f>
        <v>Copters</v>
      </c>
      <c r="M102" s="39" t="n">
        <f aca="false">MIN(F102,'Design Ranking'!$B$6)</f>
        <v>1</v>
      </c>
    </row>
    <row r="103" customFormat="false" ht="15" hidden="false" customHeight="false" outlineLevel="0" collapsed="false">
      <c r="A103" s="39" t="s">
        <v>360</v>
      </c>
      <c r="B103" s="40" t="n">
        <v>46312.5284259259</v>
      </c>
      <c r="C103" s="40" t="n">
        <v>46312.5286689815</v>
      </c>
      <c r="D103" s="39" t="s">
        <v>381</v>
      </c>
      <c r="E103" s="39" t="s">
        <v>148</v>
      </c>
      <c r="F103" s="39" t="n">
        <v>1</v>
      </c>
      <c r="G103" s="39" t="n">
        <v>4</v>
      </c>
      <c r="H103" s="39" t="n">
        <v>7</v>
      </c>
      <c r="I103" s="39" t="s">
        <v>253</v>
      </c>
      <c r="J103" s="39" t="s">
        <v>256</v>
      </c>
      <c r="K103" s="39" t="n">
        <v>0</v>
      </c>
      <c r="L103" s="39" t="str">
        <f aca="false">IFERROR(INDEX('Design Ranking'!$B$12:$B$25,MATCH(E103,'Design Ranking'!$A$12:$A$25,0)),IF(D103="Copters","Copters","Other"))</f>
        <v>Asian food</v>
      </c>
      <c r="M103" s="39" t="n">
        <f aca="false">MIN(F103,'Design Ranking'!$B$6)</f>
        <v>1</v>
      </c>
    </row>
    <row r="104" customFormat="false" ht="15" hidden="false" customHeight="false" outlineLevel="0" collapsed="false">
      <c r="A104" s="39" t="s">
        <v>360</v>
      </c>
      <c r="B104" s="40" t="n">
        <v>46312.5284259259</v>
      </c>
      <c r="C104" s="40" t="n">
        <v>46312.5286689815</v>
      </c>
      <c r="D104" s="39" t="s">
        <v>381</v>
      </c>
      <c r="E104" s="39" t="s">
        <v>140</v>
      </c>
      <c r="F104" s="39" t="n">
        <v>1</v>
      </c>
      <c r="G104" s="39" t="n">
        <v>3</v>
      </c>
      <c r="H104" s="39" t="n">
        <v>7</v>
      </c>
      <c r="I104" s="39" t="s">
        <v>253</v>
      </c>
      <c r="J104" s="39" t="s">
        <v>256</v>
      </c>
      <c r="K104" s="39"/>
      <c r="L104" s="39" t="str">
        <f aca="false">IFERROR(INDEX('Design Ranking'!$B$12:$B$25,MATCH(E104,'Design Ranking'!$A$12:$A$25,0)),IF(D104="Copters","Copters","Other"))</f>
        <v>Asian food</v>
      </c>
      <c r="M104" s="39" t="n">
        <f aca="false">MIN(F104,'Design Ranking'!$B$6)</f>
        <v>1</v>
      </c>
    </row>
    <row r="105" customFormat="false" ht="15" hidden="false" customHeight="false" outlineLevel="0" collapsed="false">
      <c r="A105" s="39" t="s">
        <v>361</v>
      </c>
      <c r="B105" s="40" t="n">
        <v>46312.5291666667</v>
      </c>
      <c r="C105" s="40" t="n">
        <v>46312.5293865741</v>
      </c>
      <c r="D105" s="39" t="s">
        <v>381</v>
      </c>
      <c r="E105" s="39" t="s">
        <v>137</v>
      </c>
      <c r="F105" s="39" t="n">
        <v>8</v>
      </c>
      <c r="G105" s="39" t="n">
        <v>27</v>
      </c>
      <c r="H105" s="39" t="n">
        <v>27</v>
      </c>
      <c r="I105" s="39"/>
      <c r="J105" s="39" t="s">
        <v>255</v>
      </c>
      <c r="K105" s="39" t="n">
        <v>2</v>
      </c>
      <c r="L105" s="39" t="str">
        <f aca="false">IFERROR(INDEX('Design Ranking'!$B$12:$B$25,MATCH(E105,'Design Ranking'!$A$12:$A$25,0)),IF(D105="Copters","Copters","Other"))</f>
        <v>Asian food</v>
      </c>
      <c r="M105" s="39" t="n">
        <f aca="false">MIN(F105,'Design Ranking'!$B$6)</f>
        <v>3</v>
      </c>
    </row>
    <row r="106" customFormat="false" ht="15" hidden="false" customHeight="false" outlineLevel="0" collapsed="false">
      <c r="A106" s="39" t="s">
        <v>362</v>
      </c>
      <c r="B106" s="40" t="n">
        <v>46312.530150463</v>
      </c>
      <c r="C106" s="40" t="n">
        <v>46312.5301851852</v>
      </c>
      <c r="D106" s="39" t="s">
        <v>381</v>
      </c>
      <c r="E106" s="39" t="s">
        <v>155</v>
      </c>
      <c r="F106" s="39" t="n">
        <v>3</v>
      </c>
      <c r="G106" s="39" t="n">
        <v>10</v>
      </c>
      <c r="H106" s="39" t="n">
        <v>10</v>
      </c>
      <c r="I106" s="39"/>
      <c r="J106" s="39"/>
      <c r="K106" s="39" t="n">
        <v>1</v>
      </c>
      <c r="L106" s="39" t="str">
        <f aca="false">IFERROR(INDEX('Design Ranking'!$B$12:$B$25,MATCH(E106,'Design Ranking'!$A$12:$A$25,0)),IF(D106="Copters","Copters","Other"))</f>
        <v>Minecraft</v>
      </c>
      <c r="M106" s="39" t="n">
        <f aca="false">MIN(F106,'Design Ranking'!$B$6)</f>
        <v>3</v>
      </c>
    </row>
    <row r="107" customFormat="false" ht="15" hidden="false" customHeight="false" outlineLevel="0" collapsed="false">
      <c r="A107" s="39" t="s">
        <v>363</v>
      </c>
      <c r="B107" s="40" t="n">
        <v>46312.5302893519</v>
      </c>
      <c r="C107" s="40" t="n">
        <v>46312.5303472222</v>
      </c>
      <c r="D107" s="39" t="s">
        <v>381</v>
      </c>
      <c r="E107" s="39" t="s">
        <v>145</v>
      </c>
      <c r="F107" s="39" t="n">
        <v>3</v>
      </c>
      <c r="G107" s="39" t="n">
        <v>10</v>
      </c>
      <c r="H107" s="39" t="n">
        <v>10</v>
      </c>
      <c r="I107" s="39"/>
      <c r="J107" s="39" t="s">
        <v>255</v>
      </c>
      <c r="K107" s="39" t="n">
        <v>1</v>
      </c>
      <c r="L107" s="39" t="str">
        <f aca="false">IFERROR(INDEX('Design Ranking'!$B$12:$B$25,MATCH(E107,'Design Ranking'!$A$12:$A$25,0)),IF(D107="Copters","Copters","Other"))</f>
        <v>Snacks &amp; treats</v>
      </c>
      <c r="M107" s="39" t="n">
        <f aca="false">MIN(F107,'Design Ranking'!$B$6)</f>
        <v>3</v>
      </c>
    </row>
    <row r="108" customFormat="false" ht="15" hidden="false" customHeight="false" outlineLevel="0" collapsed="false">
      <c r="A108" s="39" t="s">
        <v>364</v>
      </c>
      <c r="B108" s="40" t="n">
        <v>46312.5304861111</v>
      </c>
      <c r="C108" s="40" t="n">
        <v>46312.5358101852</v>
      </c>
      <c r="D108" s="39" t="s">
        <v>381</v>
      </c>
      <c r="E108" s="39" t="s">
        <v>163</v>
      </c>
      <c r="F108" s="39" t="n">
        <v>1</v>
      </c>
      <c r="G108" s="39" t="n">
        <v>4</v>
      </c>
      <c r="H108" s="39" t="n">
        <v>14</v>
      </c>
      <c r="I108" s="39" t="s">
        <v>251</v>
      </c>
      <c r="J108" s="39"/>
      <c r="K108" s="39" t="n">
        <v>1</v>
      </c>
      <c r="L108" s="39" t="str">
        <f aca="false">IFERROR(INDEX('Design Ranking'!$B$12:$B$25,MATCH(E108,'Design Ranking'!$A$12:$A$25,0)),IF(D108="Copters","Copters","Other"))</f>
        <v>Snacks &amp; treats</v>
      </c>
      <c r="M108" s="39" t="n">
        <f aca="false">MIN(F108,'Design Ranking'!$B$6)</f>
        <v>1</v>
      </c>
    </row>
    <row r="109" customFormat="false" ht="15" hidden="false" customHeight="false" outlineLevel="0" collapsed="false">
      <c r="A109" s="39" t="s">
        <v>364</v>
      </c>
      <c r="B109" s="40" t="n">
        <v>46312.5304861111</v>
      </c>
      <c r="C109" s="40" t="n">
        <v>46312.5358101852</v>
      </c>
      <c r="D109" s="39" t="s">
        <v>381</v>
      </c>
      <c r="E109" s="39" t="s">
        <v>140</v>
      </c>
      <c r="F109" s="39" t="n">
        <v>3</v>
      </c>
      <c r="G109" s="39" t="n">
        <v>10</v>
      </c>
      <c r="H109" s="39" t="n">
        <v>14</v>
      </c>
      <c r="I109" s="39" t="s">
        <v>251</v>
      </c>
      <c r="J109" s="39"/>
      <c r="K109" s="39"/>
      <c r="L109" s="39" t="str">
        <f aca="false">IFERROR(INDEX('Design Ranking'!$B$12:$B$25,MATCH(E109,'Design Ranking'!$A$12:$A$25,0)),IF(D109="Copters","Copters","Other"))</f>
        <v>Asian food</v>
      </c>
      <c r="M109" s="39" t="n">
        <f aca="false">MIN(F109,'Design Ranking'!$B$6)</f>
        <v>3</v>
      </c>
    </row>
    <row r="110" customFormat="false" ht="15" hidden="false" customHeight="false" outlineLevel="0" collapsed="false">
      <c r="A110" s="39" t="s">
        <v>365</v>
      </c>
      <c r="B110" s="40" t="n">
        <v>46312.5458564815</v>
      </c>
      <c r="C110" s="40" t="n">
        <v>46312.5459027778</v>
      </c>
      <c r="D110" s="39" t="s">
        <v>381</v>
      </c>
      <c r="E110" s="39" t="s">
        <v>148</v>
      </c>
      <c r="F110" s="39" t="n">
        <v>1</v>
      </c>
      <c r="G110" s="39" t="n">
        <v>4</v>
      </c>
      <c r="H110" s="39" t="n">
        <v>7</v>
      </c>
      <c r="I110" s="39" t="s">
        <v>251</v>
      </c>
      <c r="J110" s="39" t="s">
        <v>256</v>
      </c>
      <c r="K110" s="39" t="n">
        <v>0</v>
      </c>
      <c r="L110" s="39" t="str">
        <f aca="false">IFERROR(INDEX('Design Ranking'!$B$12:$B$25,MATCH(E110,'Design Ranking'!$A$12:$A$25,0)),IF(D110="Copters","Copters","Other"))</f>
        <v>Asian food</v>
      </c>
      <c r="M110" s="39" t="n">
        <f aca="false">MIN(F110,'Design Ranking'!$B$6)</f>
        <v>1</v>
      </c>
    </row>
    <row r="111" customFormat="false" ht="15" hidden="false" customHeight="false" outlineLevel="0" collapsed="false">
      <c r="A111" s="39" t="s">
        <v>365</v>
      </c>
      <c r="B111" s="40" t="n">
        <v>46312.5458564815</v>
      </c>
      <c r="C111" s="40" t="n">
        <v>46312.5459027778</v>
      </c>
      <c r="D111" s="39" t="s">
        <v>381</v>
      </c>
      <c r="E111" s="39" t="s">
        <v>140</v>
      </c>
      <c r="F111" s="39" t="n">
        <v>1</v>
      </c>
      <c r="G111" s="39" t="n">
        <v>3</v>
      </c>
      <c r="H111" s="39" t="n">
        <v>7</v>
      </c>
      <c r="I111" s="39" t="s">
        <v>251</v>
      </c>
      <c r="J111" s="39" t="s">
        <v>256</v>
      </c>
      <c r="K111" s="39"/>
      <c r="L111" s="39" t="str">
        <f aca="false">IFERROR(INDEX('Design Ranking'!$B$12:$B$25,MATCH(E111,'Design Ranking'!$A$12:$A$25,0)),IF(D111="Copters","Copters","Other"))</f>
        <v>Asian food</v>
      </c>
      <c r="M111" s="39" t="n">
        <f aca="false">MIN(F111,'Design Ranking'!$B$6)</f>
        <v>1</v>
      </c>
    </row>
    <row r="112" customFormat="false" ht="15" hidden="false" customHeight="false" outlineLevel="0" collapsed="false">
      <c r="A112" s="39" t="s">
        <v>366</v>
      </c>
      <c r="B112" s="40" t="n">
        <v>46312.5557986111</v>
      </c>
      <c r="C112" s="40" t="n">
        <v>46312.5558680556</v>
      </c>
      <c r="D112" s="39" t="s">
        <v>381</v>
      </c>
      <c r="E112" s="39" t="s">
        <v>140</v>
      </c>
      <c r="F112" s="39" t="n">
        <v>3</v>
      </c>
      <c r="G112" s="39" t="n">
        <v>10</v>
      </c>
      <c r="H112" s="39" t="n">
        <v>10</v>
      </c>
      <c r="I112" s="39" t="s">
        <v>252</v>
      </c>
      <c r="J112" s="39"/>
      <c r="K112" s="39" t="n">
        <v>1</v>
      </c>
      <c r="L112" s="39" t="str">
        <f aca="false">IFERROR(INDEX('Design Ranking'!$B$12:$B$25,MATCH(E112,'Design Ranking'!$A$12:$A$25,0)),IF(D112="Copters","Copters","Other"))</f>
        <v>Asian food</v>
      </c>
      <c r="M112" s="39" t="n">
        <f aca="false">MIN(F112,'Design Ranking'!$B$6)</f>
        <v>3</v>
      </c>
    </row>
    <row r="113" customFormat="false" ht="15" hidden="false" customHeight="false" outlineLevel="0" collapsed="false">
      <c r="A113" s="39" t="s">
        <v>367</v>
      </c>
      <c r="B113" s="40" t="n">
        <v>46312.5559490741</v>
      </c>
      <c r="C113" s="40" t="n">
        <v>46312.5560069445</v>
      </c>
      <c r="D113" s="39" t="s">
        <v>381</v>
      </c>
      <c r="E113" s="39" t="s">
        <v>156</v>
      </c>
      <c r="F113" s="39" t="n">
        <v>2</v>
      </c>
      <c r="G113" s="39" t="n">
        <v>7</v>
      </c>
      <c r="H113" s="39" t="n">
        <v>10</v>
      </c>
      <c r="I113" s="39" t="s">
        <v>253</v>
      </c>
      <c r="J113" s="39" t="s">
        <v>256</v>
      </c>
      <c r="K113" s="39" t="n">
        <v>1</v>
      </c>
      <c r="L113" s="39" t="str">
        <f aca="false">IFERROR(INDEX('Design Ranking'!$B$12:$B$25,MATCH(E113,'Design Ranking'!$A$12:$A$25,0)),IF(D113="Copters","Copters","Other"))</f>
        <v>Asian food</v>
      </c>
      <c r="M113" s="39" t="n">
        <f aca="false">MIN(F113,'Design Ranking'!$B$6)</f>
        <v>2</v>
      </c>
    </row>
    <row r="114" customFormat="false" ht="15" hidden="false" customHeight="false" outlineLevel="0" collapsed="false">
      <c r="A114" s="39" t="s">
        <v>367</v>
      </c>
      <c r="B114" s="40" t="n">
        <v>46312.5559490741</v>
      </c>
      <c r="C114" s="40" t="n">
        <v>46312.5560069445</v>
      </c>
      <c r="D114" s="39" t="s">
        <v>381</v>
      </c>
      <c r="E114" s="39" t="s">
        <v>140</v>
      </c>
      <c r="F114" s="39" t="n">
        <v>1</v>
      </c>
      <c r="G114" s="39" t="n">
        <v>3</v>
      </c>
      <c r="H114" s="39" t="n">
        <v>10</v>
      </c>
      <c r="I114" s="39" t="s">
        <v>253</v>
      </c>
      <c r="J114" s="39" t="s">
        <v>256</v>
      </c>
      <c r="K114" s="39"/>
      <c r="L114" s="39" t="str">
        <f aca="false">IFERROR(INDEX('Design Ranking'!$B$12:$B$25,MATCH(E114,'Design Ranking'!$A$12:$A$25,0)),IF(D114="Copters","Copters","Other"))</f>
        <v>Asian food</v>
      </c>
      <c r="M114" s="39" t="n">
        <f aca="false">MIN(F114,'Design Ranking'!$B$6)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2026-10-17T23:16:20Z</dcterms:created>
  <dc:creator>openpyxl</dc:creator>
  <dc:description/>
  <dc:language>en-US</dc:language>
  <cp:lastModifiedBy/>
  <dcterms:modified xsi:type="dcterms:W3CDTF">2026-10-17T23:16:20Z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